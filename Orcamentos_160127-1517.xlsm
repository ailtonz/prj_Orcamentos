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.dasilva\Desktop\vendas\"/>
    </mc:Choice>
  </mc:AlternateContent>
  <bookViews>
    <workbookView xWindow="0" yWindow="0" windowWidth="17970" windowHeight="6135"/>
  </bookViews>
  <sheets>
    <sheet name="ALEXANDRA CIFUENTES" sheetId="29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 builtInGroupCount="18"/>
  <definedNames>
    <definedName name="_xlnm._FilterDatabase" localSheetId="0" hidden="1">'ALEXANDRA CIFUENTES'!#REF!</definedName>
    <definedName name="ACABAMENTO">OFFSET(APOIO!$D$2,0,0,COUNTA(APOIO!$D:$D)-1,1)</definedName>
    <definedName name="ARREDONDAMENT0_01" localSheetId="0">'ALEXANDRA CIFUENTES'!$C$83</definedName>
    <definedName name="ARREDONDAMENT0_01">#REF!</definedName>
    <definedName name="ARREDONDAMENT0_02" localSheetId="0">'ALEXANDRA CIFUENTES'!$D$83</definedName>
    <definedName name="ARREDONDAMENT0_02">#REF!</definedName>
    <definedName name="ARREDONDAMENT0_03" localSheetId="0">'ALEXANDRA CIFUENTES'!$E$83</definedName>
    <definedName name="ARREDONDAMENT0_03">#REF!</definedName>
    <definedName name="ARREDONDAMENT0_04" localSheetId="0">'ALEXANDRA CIFUENTES'!$F$83</definedName>
    <definedName name="ARREDONDAMENT0_04">#REF!</definedName>
    <definedName name="ARREDONDAMENT0_05" localSheetId="0">'ALEXANDRA CIFUENTES'!$G$83</definedName>
    <definedName name="ARREDONDAMENT0_05">#REF!</definedName>
    <definedName name="ARREDONDAMENT0_06" localSheetId="0">'ALEXANDRA CIFUENTES'!$H$83</definedName>
    <definedName name="ARREDONDAMENT0_06">#REF!</definedName>
    <definedName name="ARREDONDAMENT0_07" localSheetId="0">'ALEXANDRA CIFUENTES'!$I$83</definedName>
    <definedName name="ARREDONDAMENT0_07">#REF!</definedName>
    <definedName name="ARREDONDAMENT0_08" localSheetId="0">'ALEXANDRA CIFUENTES'!$J$83</definedName>
    <definedName name="ARREDONDAMENT0_08">#REF!</definedName>
    <definedName name="Caracteristicas" localSheetId="0">'ALEXANDRA CIFUENTES'!$C$29:$J$29</definedName>
    <definedName name="Caracteristicas">#REF!</definedName>
    <definedName name="CLIENTES">OFFSET(APOIO!$C$2,0,0,COUNTA(APOIO!$C:$C)-1,1)</definedName>
    <definedName name="DescontoComprasMKT_01" localSheetId="0">'ALEXANDRA CIFUENTES'!$C$76</definedName>
    <definedName name="DescontoComprasMKT_01">#REF!</definedName>
    <definedName name="DescontoComprasMKT_02" localSheetId="0">'ALEXANDRA CIFUENTES'!$D$76</definedName>
    <definedName name="DescontoComprasMKT_02">#REF!</definedName>
    <definedName name="DescontoComprasMKT_03" localSheetId="0">'ALEXANDRA CIFUENTES'!$E$76</definedName>
    <definedName name="DescontoComprasMKT_03">#REF!</definedName>
    <definedName name="DescontoComprasMKT_04" localSheetId="0">'ALEXANDRA CIFUENTES'!$F$76</definedName>
    <definedName name="DescontoComprasMKT_04">#REF!</definedName>
    <definedName name="DescontoComprasMKT_05" localSheetId="0">'ALEXANDRA CIFUENTES'!$G$76</definedName>
    <definedName name="DescontoComprasMKT_05">#REF!</definedName>
    <definedName name="DescontoComprasMKT_06" localSheetId="0">'ALEXANDRA CIFUENTES'!$H$76</definedName>
    <definedName name="DescontoComprasMKT_06">#REF!</definedName>
    <definedName name="DescontoComprasMKT_07" localSheetId="0">'ALEXANDRA CIFUENTES'!$I$76</definedName>
    <definedName name="DescontoComprasMKT_07">#REF!</definedName>
    <definedName name="DescontoComprasMKT_08" localSheetId="0">'ALEXANDRA CIFUENTES'!$J$76</definedName>
    <definedName name="DescontoComprasMKT_08">#REF!</definedName>
    <definedName name="DescontoPadrao_01" localSheetId="0">'ALEXANDRA CIFUENTES'!$C$71</definedName>
    <definedName name="DescontoPadrao_01">#REF!</definedName>
    <definedName name="DescontoPadrao_02" localSheetId="0">'ALEXANDRA CIFUENTES'!$D$71</definedName>
    <definedName name="DescontoPadrao_02">#REF!</definedName>
    <definedName name="DescontoPadrao_03" localSheetId="0">'ALEXANDRA CIFUENTES'!$E$71</definedName>
    <definedName name="DescontoPadrao_03">#REF!</definedName>
    <definedName name="DescontoPadrao_04" localSheetId="0">'ALEXANDRA CIFUENTES'!$F$71</definedName>
    <definedName name="DescontoPadrao_04">#REF!</definedName>
    <definedName name="DescontoPadrao_05" localSheetId="0">'ALEXANDRA CIFUENTES'!$G$71</definedName>
    <definedName name="DescontoPadrao_05">#REF!</definedName>
    <definedName name="DescontoPadrao_06" localSheetId="0">'ALEXANDRA CIFUENTES'!$H$71</definedName>
    <definedName name="DescontoPadrao_06">#REF!</definedName>
    <definedName name="DescontoPadrao_07" localSheetId="0">'ALEXANDRA CIFUENTES'!$I$71</definedName>
    <definedName name="DescontoPadrao_07">#REF!</definedName>
    <definedName name="DescontoPadrao_08" localSheetId="0">'ALEXANDRA CIFUENTES'!$J$71</definedName>
    <definedName name="DescontoPadrao_08">#REF!</definedName>
    <definedName name="DESCONTOS" localSheetId="0">OFFSET('ALEXANDRA CIFUENTES'!$W$3,0,0,COUNTA('ALEXANDRA CIFUENTES'!$W:$W)-2,1)</definedName>
    <definedName name="DESCONTOS">OFFSET(#REF!,0,0,COUNTA(#REF!)-2,1)</definedName>
    <definedName name="DRIVERS">OFFSET(BANCOS!$H$2,0,0,COUNTA(BANCOS!$H:$H)-1,1)</definedName>
    <definedName name="FASCICULOS_01" localSheetId="0">'ALEXANDRA CIFUENTES'!$C$14</definedName>
    <definedName name="FASCICULOS_01">#REF!</definedName>
    <definedName name="FASCICULOS_02" localSheetId="0">'ALEXANDRA CIFUENTES'!$D$14</definedName>
    <definedName name="FASCICULOS_02">#REF!</definedName>
    <definedName name="FASCICULOS_03" localSheetId="0">'ALEXANDRA CIFUENTES'!$E$14</definedName>
    <definedName name="FASCICULOS_03">#REF!</definedName>
    <definedName name="FASCICULOS_04" localSheetId="0">'ALEXANDRA CIFUENTES'!$F$14</definedName>
    <definedName name="FASCICULOS_04">#REF!</definedName>
    <definedName name="FASCICULOS_05" localSheetId="0">'ALEXANDRA CIFUENTES'!$G$14</definedName>
    <definedName name="FASCICULOS_05">#REF!</definedName>
    <definedName name="FASCICULOS_06" localSheetId="0">'ALEXANDRA CIFUENTES'!$H$14</definedName>
    <definedName name="FASCICULOS_06">#REF!</definedName>
    <definedName name="FASCICULOS_07" localSheetId="0">'ALEXANDRA CIFUENTES'!$I$14</definedName>
    <definedName name="FASCICULOS_07">#REF!</definedName>
    <definedName name="FASCICULOS_08" localSheetId="0">'ALEXANDRA CIFUENTES'!$J$14</definedName>
    <definedName name="FASCICULOS_08">#REF!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0">OFFSET('ALEXANDRA CIFUENTES'!$L$3,0,0,COUNTA('ALEXANDRA CIFUENTES'!$L:$L)-2,1)</definedName>
    <definedName name="LINHA">OFFSET(#REF!,0,0,COUNTA(#REF!)-2,1)</definedName>
    <definedName name="LINHA_DE_PRODUTO_01" localSheetId="0">'ALEXANDRA CIFUENTES'!$C$13</definedName>
    <definedName name="LINHA_DE_PRODUTO_01">#REF!</definedName>
    <definedName name="LINHA_DE_PRODUTO_02" localSheetId="0">'ALEXANDRA CIFUENTES'!$D$13</definedName>
    <definedName name="LINHA_DE_PRODUTO_02">#REF!</definedName>
    <definedName name="LINHA_DE_PRODUTO_03" localSheetId="0">'ALEXANDRA CIFUENTES'!$E$13</definedName>
    <definedName name="LINHA_DE_PRODUTO_03">#REF!</definedName>
    <definedName name="LINHA_DE_PRODUTO_04" localSheetId="0">'ALEXANDRA CIFUENTES'!$F$13</definedName>
    <definedName name="LINHA_DE_PRODUTO_04">#REF!</definedName>
    <definedName name="LINHA_DE_PRODUTO_05" localSheetId="0">'ALEXANDRA CIFUENTES'!$G$13</definedName>
    <definedName name="LINHA_DE_PRODUTO_05">#REF!</definedName>
    <definedName name="LINHA_DE_PRODUTO_06" localSheetId="0">'ALEXANDRA CIFUENTES'!$H$13</definedName>
    <definedName name="LINHA_DE_PRODUTO_06">#REF!</definedName>
    <definedName name="LINHA_DE_PRODUTO_07" localSheetId="0">'ALEXANDRA CIFUENTES'!$I$13</definedName>
    <definedName name="LINHA_DE_PRODUTO_07">#REF!</definedName>
    <definedName name="LINHA_DE_PRODUTO_08" localSheetId="0">'ALEXANDRA CIFUENTES'!$J$13</definedName>
    <definedName name="LINHA_DE_PRODUTO_08">#REF!</definedName>
    <definedName name="MARGEM_MINIMA_01" localSheetId="0">'ALEXANDRA CIFUENTES'!$C$62</definedName>
    <definedName name="MARGEM_MINIMA_01">#REF!</definedName>
    <definedName name="MARGEM_MINIMA_02" localSheetId="0">'ALEXANDRA CIFUENTES'!$D$62</definedName>
    <definedName name="MARGEM_MINIMA_02">#REF!</definedName>
    <definedName name="MARGEM_MINIMA_03" localSheetId="0">'ALEXANDRA CIFUENTES'!$E$62</definedName>
    <definedName name="MARGEM_MINIMA_03">#REF!</definedName>
    <definedName name="MARGEM_MINIMA_04" localSheetId="0">'ALEXANDRA CIFUENTES'!$F$62</definedName>
    <definedName name="MARGEM_MINIMA_04">#REF!</definedName>
    <definedName name="MARGEM_MINIMA_05" localSheetId="0">'ALEXANDRA CIFUENTES'!$G$62</definedName>
    <definedName name="MARGEM_MINIMA_05">#REF!</definedName>
    <definedName name="MARGEM_MINIMA_06" localSheetId="0">'ALEXANDRA CIFUENTES'!$H$62</definedName>
    <definedName name="MARGEM_MINIMA_06">#REF!</definedName>
    <definedName name="MARGEM_MINIMA_07" localSheetId="0">'ALEXANDRA CIFUENTES'!$I$62</definedName>
    <definedName name="MARGEM_MINIMA_07">#REF!</definedName>
    <definedName name="MARGEM_MINIMA_08" localSheetId="0">'ALEXANDRA CIFUENTES'!$J$62</definedName>
    <definedName name="MARGEM_MINIMA_08">#REF!</definedName>
    <definedName name="MargemBrutaComprasMKT_01" localSheetId="0">'ALEXANDRA CIFUENTES'!$C$77</definedName>
    <definedName name="MargemBrutaComprasMKT_01">#REF!</definedName>
    <definedName name="MargemBrutaComprasMKT_02" localSheetId="0">'ALEXANDRA CIFUENTES'!$D$77</definedName>
    <definedName name="MargemBrutaComprasMKT_02">#REF!</definedName>
    <definedName name="MargemBrutaComprasMKT_03" localSheetId="0">'ALEXANDRA CIFUENTES'!$E$77</definedName>
    <definedName name="MargemBrutaComprasMKT_03">#REF!</definedName>
    <definedName name="MargemBrutaComprasMKT_04" localSheetId="0">'ALEXANDRA CIFUENTES'!$F$77</definedName>
    <definedName name="MargemBrutaComprasMKT_04">#REF!</definedName>
    <definedName name="MargemBrutaComprasMKT_05" localSheetId="0">'ALEXANDRA CIFUENTES'!$G$77</definedName>
    <definedName name="MargemBrutaComprasMKT_05">#REF!</definedName>
    <definedName name="MargemBrutaComprasMKT_06" localSheetId="0">'ALEXANDRA CIFUENTES'!$H$77</definedName>
    <definedName name="MargemBrutaComprasMKT_06">#REF!</definedName>
    <definedName name="MargemBrutaComprasMKT_07" localSheetId="0">'ALEXANDRA CIFUENTES'!$I$77</definedName>
    <definedName name="MargemBrutaComprasMKT_07">#REF!</definedName>
    <definedName name="MargemBrutaComprasMKT_08" localSheetId="0">'ALEXANDRA CIFUENTES'!$J$77</definedName>
    <definedName name="MargemBrutaComprasMKT_08">#REF!</definedName>
    <definedName name="MargemBrutaMKT_01" localSheetId="0">'ALEXANDRA CIFUENTES'!$C$69</definedName>
    <definedName name="MargemBrutaMKT_01">#REF!</definedName>
    <definedName name="MargemBrutaMKT_02" localSheetId="0">'ALEXANDRA CIFUENTES'!$D$69</definedName>
    <definedName name="MargemBrutaMKT_02">#REF!</definedName>
    <definedName name="MargemBrutaMKT_03" localSheetId="0">'ALEXANDRA CIFUENTES'!$E$69</definedName>
    <definedName name="MargemBrutaMKT_03">#REF!</definedName>
    <definedName name="MargemBrutaMKT_04" localSheetId="0">'ALEXANDRA CIFUENTES'!$F$69</definedName>
    <definedName name="MargemBrutaMKT_04">#REF!</definedName>
    <definedName name="MargemBrutaMKT_05" localSheetId="0">'ALEXANDRA CIFUENTES'!$G$69</definedName>
    <definedName name="MargemBrutaMKT_05">#REF!</definedName>
    <definedName name="MargemBrutaMKT_06" localSheetId="0">'ALEXANDRA CIFUENTES'!$H$69</definedName>
    <definedName name="MargemBrutaMKT_06">#REF!</definedName>
    <definedName name="MargemBrutaMKT_07" localSheetId="0">'ALEXANDRA CIFUENTES'!$I$69</definedName>
    <definedName name="MargemBrutaMKT_07">#REF!</definedName>
    <definedName name="MargemBrutaMKT_08" localSheetId="0">'ALEXANDRA CIFUENTES'!$J$69</definedName>
    <definedName name="MargemBrutaMKT_08">#REF!</definedName>
    <definedName name="MargemMinimaCompras_01" localSheetId="0">'ALEXANDRA CIFUENTES'!$C$74</definedName>
    <definedName name="MargemMinimaCompras_01">#REF!</definedName>
    <definedName name="MargemMinimaCompras_02" localSheetId="0">'ALEXANDRA CIFUENTES'!$D$74</definedName>
    <definedName name="MargemMinimaCompras_02">#REF!</definedName>
    <definedName name="MargemMinimaCompras_03" localSheetId="0">'ALEXANDRA CIFUENTES'!$E$74</definedName>
    <definedName name="MargemMinimaCompras_03">#REF!</definedName>
    <definedName name="MargemMinimaCompras_04" localSheetId="0">'ALEXANDRA CIFUENTES'!$F$74</definedName>
    <definedName name="MargemMinimaCompras_04">#REF!</definedName>
    <definedName name="MargemMinimaCompras_05" localSheetId="0">'ALEXANDRA CIFUENTES'!$G$74</definedName>
    <definedName name="MargemMinimaCompras_05">#REF!</definedName>
    <definedName name="MargemMinimaCompras_06" localSheetId="0">'ALEXANDRA CIFUENTES'!$H$74</definedName>
    <definedName name="MargemMinimaCompras_06">#REF!</definedName>
    <definedName name="MargemMinimaCompras_07" localSheetId="0">'ALEXANDRA CIFUENTES'!$I$74</definedName>
    <definedName name="MargemMinimaCompras_07">#REF!</definedName>
    <definedName name="MargemMinimaCompras_08" localSheetId="0">'ALEXANDRA CIFUENTES'!$J$74</definedName>
    <definedName name="MargemMinimaCompras_08">#REF!</definedName>
    <definedName name="MargemMKT_01" localSheetId="0">'ALEXANDRA CIFUENTES'!$C$68</definedName>
    <definedName name="MargemMKT_01">#REF!</definedName>
    <definedName name="MargemMKT_02" localSheetId="0">'ALEXANDRA CIFUENTES'!$D$68</definedName>
    <definedName name="MargemMKT_02">#REF!</definedName>
    <definedName name="MargemMKT_03" localSheetId="0">'ALEXANDRA CIFUENTES'!$E$68</definedName>
    <definedName name="MargemMKT_03">#REF!</definedName>
    <definedName name="MargemMKT_04" localSheetId="0">'ALEXANDRA CIFUENTES'!$F$68</definedName>
    <definedName name="MargemMKT_04">#REF!</definedName>
    <definedName name="MargemMKT_05" localSheetId="0">'ALEXANDRA CIFUENTES'!$G$68</definedName>
    <definedName name="MargemMKT_05">#REF!</definedName>
    <definedName name="MargemMKT_06" localSheetId="0">'ALEXANDRA CIFUENTES'!$H$68</definedName>
    <definedName name="MargemMKT_06">#REF!</definedName>
    <definedName name="MargemMKT_07" localSheetId="0">'ALEXANDRA CIFUENTES'!$I$68</definedName>
    <definedName name="MargemMKT_07">#REF!</definedName>
    <definedName name="MargemMKT_08" localSheetId="0">'ALEXANDRA CIFUENTES'!$J$68</definedName>
    <definedName name="MargemMKT_08">#REF!</definedName>
    <definedName name="MOEDA" localSheetId="0">OFFSET('ALEXANDRA CIFUENTES'!$P$3,0,0,COUNTA('ALEXANDRA CIFUENTES'!$P:$P)-2,1)</definedName>
    <definedName name="MOEDA">OFFSET(#REF!,0,0,COUNTA(#REF!)-2,1)</definedName>
    <definedName name="Moeda_01" localSheetId="0">'ALEXANDRA CIFUENTES'!$C$20</definedName>
    <definedName name="Moeda_01">#REF!</definedName>
    <definedName name="Moeda_02" localSheetId="0">'ALEXANDRA CIFUENTES'!$D$20</definedName>
    <definedName name="Moeda_02">#REF!</definedName>
    <definedName name="Moeda_03" localSheetId="0">'ALEXANDRA CIFUENTES'!$E$20</definedName>
    <definedName name="Moeda_03">#REF!</definedName>
    <definedName name="Moeda_04" localSheetId="0">'ALEXANDRA CIFUENTES'!$F$20</definedName>
    <definedName name="Moeda_04">#REF!</definedName>
    <definedName name="Moeda_05" localSheetId="0">'ALEXANDRA CIFUENTES'!$G$20</definedName>
    <definedName name="Moeda_05">#REF!</definedName>
    <definedName name="Moeda_06" localSheetId="0">'ALEXANDRA CIFUENTES'!$H$20</definedName>
    <definedName name="Moeda_06">#REF!</definedName>
    <definedName name="Moeda_07" localSheetId="0">'ALEXANDRA CIFUENTES'!$I$20</definedName>
    <definedName name="Moeda_07">#REF!</definedName>
    <definedName name="Moeda_08" localSheetId="0">'ALEXANDRA CIFUENTES'!$J$20</definedName>
    <definedName name="Moeda_08">#REF!</definedName>
    <definedName name="NPAGINAS">OFFSET(APOIO!$H$2,0,0,COUNTA(APOIO!$H:$H)-1,1)</definedName>
    <definedName name="PAPEL">OFFSET(APOIO!$G$2,0,0,COUNTA(APOIO!$G:$G)-1,1)</definedName>
    <definedName name="PRECO_VENDA_GROSS_01" localSheetId="0">'ALEXANDRA CIFUENTES'!$C$82</definedName>
    <definedName name="PRECO_VENDA_GROSS_01">#REF!</definedName>
    <definedName name="PRECO_VENDA_GROSS_02" localSheetId="0">'ALEXANDRA CIFUENTES'!$D$82</definedName>
    <definedName name="PRECO_VENDA_GROSS_02">#REF!</definedName>
    <definedName name="PRECO_VENDA_GROSS_03" localSheetId="0">'ALEXANDRA CIFUENTES'!$E$82</definedName>
    <definedName name="PRECO_VENDA_GROSS_03">#REF!</definedName>
    <definedName name="PRECO_VENDA_GROSS_04" localSheetId="0">'ALEXANDRA CIFUENTES'!$F$82</definedName>
    <definedName name="PRECO_VENDA_GROSS_04">#REF!</definedName>
    <definedName name="PRECO_VENDA_GROSS_05" localSheetId="0">'ALEXANDRA CIFUENTES'!$G$82</definedName>
    <definedName name="PRECO_VENDA_GROSS_05">#REF!</definedName>
    <definedName name="PRECO_VENDA_GROSS_06" localSheetId="0">'ALEXANDRA CIFUENTES'!$H$82</definedName>
    <definedName name="PRECO_VENDA_GROSS_06">#REF!</definedName>
    <definedName name="PRECO_VENDA_GROSS_07" localSheetId="0">'ALEXANDRA CIFUENTES'!$I$82</definedName>
    <definedName name="PRECO_VENDA_GROSS_07">#REF!</definedName>
    <definedName name="PRECO_VENDA_GROSS_08" localSheetId="0">'ALEXANDRA CIFUENTES'!$J$82</definedName>
    <definedName name="PRECO_VENDA_GROSS_08">#REF!</definedName>
    <definedName name="PrecoDeCompras_01" localSheetId="0">'ALEXANDRA CIFUENTES'!$C$72</definedName>
    <definedName name="PrecoDeCompras_01">#REF!</definedName>
    <definedName name="PrecoDeCompras_02" localSheetId="0">'ALEXANDRA CIFUENTES'!$D$72</definedName>
    <definedName name="PrecoDeCompras_02">#REF!</definedName>
    <definedName name="PrecoDeCompras_03" localSheetId="0">'ALEXANDRA CIFUENTES'!$E$72</definedName>
    <definedName name="PrecoDeCompras_03">#REF!</definedName>
    <definedName name="PrecoDeCompras_04" localSheetId="0">'ALEXANDRA CIFUENTES'!$F$72</definedName>
    <definedName name="PrecoDeCompras_04">#REF!</definedName>
    <definedName name="PrecoDeCompras_05" localSheetId="0">'ALEXANDRA CIFUENTES'!$G$72</definedName>
    <definedName name="PrecoDeCompras_05">#REF!</definedName>
    <definedName name="PrecoDeCompras_06" localSheetId="0">'ALEXANDRA CIFUENTES'!$H$72</definedName>
    <definedName name="PrecoDeCompras_06">#REF!</definedName>
    <definedName name="PrecoDeCompras_07" localSheetId="0">'ALEXANDRA CIFUENTES'!$I$72</definedName>
    <definedName name="PrecoDeCompras_07">#REF!</definedName>
    <definedName name="PrecoDeCompras_08" localSheetId="0">'ALEXANDRA CIFUENTES'!$J$72</definedName>
    <definedName name="PrecoDeCompras_08">#REF!</definedName>
    <definedName name="PrecoMKT_01" localSheetId="0">'ALEXANDRA CIFUENTES'!$C$65</definedName>
    <definedName name="PrecoMKT_01">#REF!</definedName>
    <definedName name="PrecoMKT_02" localSheetId="0">'ALEXANDRA CIFUENTES'!$D$65</definedName>
    <definedName name="PrecoMKT_02">#REF!</definedName>
    <definedName name="PrecoMKT_03" localSheetId="0">'ALEXANDRA CIFUENTES'!$E$65</definedName>
    <definedName name="PrecoMKT_03">#REF!</definedName>
    <definedName name="PrecoMKT_04" localSheetId="0">'ALEXANDRA CIFUENTES'!$F$65</definedName>
    <definedName name="PrecoMKT_04">#REF!</definedName>
    <definedName name="PrecoMKT_05" localSheetId="0">'ALEXANDRA CIFUENTES'!$G$65</definedName>
    <definedName name="PrecoMKT_05">#REF!</definedName>
    <definedName name="PrecoMKT_06" localSheetId="0">'ALEXANDRA CIFUENTES'!$H$65</definedName>
    <definedName name="PrecoMKT_06">#REF!</definedName>
    <definedName name="PrecoMKT_07" localSheetId="0">'ALEXANDRA CIFUENTES'!$I$65</definedName>
    <definedName name="PrecoMKT_07">#REF!</definedName>
    <definedName name="PrecoMKT_08" localSheetId="0">'ALEXANDRA CIFUENTES'!$J$65</definedName>
    <definedName name="PrecoMKT_08">#REF!</definedName>
    <definedName name="PrecoTotal_01" localSheetId="0">'ALEXANDRA CIFUENTES'!$C$73</definedName>
    <definedName name="PrecoTotal_01">#REF!</definedName>
    <definedName name="PrecoTotal_02" localSheetId="0">'ALEXANDRA CIFUENTES'!$D$73</definedName>
    <definedName name="PrecoTotal_02">#REF!</definedName>
    <definedName name="PrecoTotal_03" localSheetId="0">'ALEXANDRA CIFUENTES'!$E$73</definedName>
    <definedName name="PrecoTotal_03">#REF!</definedName>
    <definedName name="PrecoTotal_04" localSheetId="0">'ALEXANDRA CIFUENTES'!$F$73</definedName>
    <definedName name="PrecoTotal_04">#REF!</definedName>
    <definedName name="PrecoTotal_05" localSheetId="0">'ALEXANDRA CIFUENTES'!$G$73</definedName>
    <definedName name="PrecoTotal_05">#REF!</definedName>
    <definedName name="PrecoTotal_06" localSheetId="0">'ALEXANDRA CIFUENTES'!$H$73</definedName>
    <definedName name="PrecoTotal_06">#REF!</definedName>
    <definedName name="PrecoTotal_07" localSheetId="0">'ALEXANDRA CIFUENTES'!$I$73</definedName>
    <definedName name="PrecoTotal_07">#REF!</definedName>
    <definedName name="PrecoTotal_08" localSheetId="0">'ALEXANDRA CIFUENTES'!$J$73</definedName>
    <definedName name="PrecoTotal_08">#REF!</definedName>
    <definedName name="PrecoTotalMKT_01" localSheetId="0">'ALEXANDRA CIFUENTES'!$C$66</definedName>
    <definedName name="PrecoTotalMKT_01">#REF!</definedName>
    <definedName name="PrecoTotalMKT_02" localSheetId="0">'ALEXANDRA CIFUENTES'!$D$66</definedName>
    <definedName name="PrecoTotalMKT_02">#REF!</definedName>
    <definedName name="PrecoTotalMKT_03" localSheetId="0">'ALEXANDRA CIFUENTES'!$E$66</definedName>
    <definedName name="PrecoTotalMKT_03">#REF!</definedName>
    <definedName name="PrecoTotalMKT_04" localSheetId="0">'ALEXANDRA CIFUENTES'!$F$66</definedName>
    <definedName name="PrecoTotalMKT_04">#REF!</definedName>
    <definedName name="PrecoTotalMKT_05" localSheetId="0">'ALEXANDRA CIFUENTES'!$G$66</definedName>
    <definedName name="PrecoTotalMKT_05">#REF!</definedName>
    <definedName name="PrecoTotalMKT_06" localSheetId="0">'ALEXANDRA CIFUENTES'!$H$66</definedName>
    <definedName name="PrecoTotalMKT_06">#REF!</definedName>
    <definedName name="PrecoTotalMKT_07" localSheetId="0">'ALEXANDRA CIFUENTES'!$I$66</definedName>
    <definedName name="PrecoTotalMKT_07">#REF!</definedName>
    <definedName name="PrecoTotalMKT_08" localSheetId="0">'ALEXANDRA CIFUENTES'!$J$66</definedName>
    <definedName name="PrecoTotalMKT_08">#REF!</definedName>
    <definedName name="_xlnm.Print_Area" localSheetId="0">'ALEXANDRA CIFUENTES'!$B$1:$J$86</definedName>
    <definedName name="_xlnm.Print_Area" localSheetId="4">'CALCULO DE GRANT'!#REF!</definedName>
    <definedName name="_xlnm.Print_Area" localSheetId="3">'CUSTOS DE PRODUÇÃO'!$A$1:$J$51</definedName>
    <definedName name="PRODUTO" localSheetId="0">'ALEXANDRA CIFUENTES'!$C$79</definedName>
    <definedName name="PRODUTO">#REF!</definedName>
    <definedName name="Projetos" localSheetId="0">'ALEXANDRA CIFUENTES'!$C$13:$J$23</definedName>
    <definedName name="Projetos">#REF!</definedName>
    <definedName name="PUBLISHER">OFFSET(APOIO!$B$2,0,0,COUNTA(APOIO!$B:$B)-1,1)</definedName>
    <definedName name="rngBanco">'ALEXANDRA CIFUENTES'!$B$1</definedName>
    <definedName name="ROYALTY_ESPECIE_01" localSheetId="0">'ALEXANDRA CIFUENTES'!$C$22</definedName>
    <definedName name="ROYALTY_ESPECIE_01">#REF!</definedName>
    <definedName name="ROYALTY_ESPECIE_02" localSheetId="0">'ALEXANDRA CIFUENTES'!$D$22</definedName>
    <definedName name="ROYALTY_ESPECIE_02">#REF!</definedName>
    <definedName name="ROYALTY_ESPECIE_03" localSheetId="0">'ALEXANDRA CIFUENTES'!$E$22</definedName>
    <definedName name="ROYALTY_ESPECIE_03">#REF!</definedName>
    <definedName name="ROYALTY_ESPECIE_04" localSheetId="0">'ALEXANDRA CIFUENTES'!$F$22</definedName>
    <definedName name="ROYALTY_ESPECIE_04">#REF!</definedName>
    <definedName name="ROYALTY_ESPECIE_05" localSheetId="0">'ALEXANDRA CIFUENTES'!$G$22</definedName>
    <definedName name="ROYALTY_ESPECIE_05">#REF!</definedName>
    <definedName name="ROYALTY_ESPECIE_06" localSheetId="0">'ALEXANDRA CIFUENTES'!$H$22</definedName>
    <definedName name="ROYALTY_ESPECIE_06">#REF!</definedName>
    <definedName name="ROYALTY_ESPECIE_07" localSheetId="0">'ALEXANDRA CIFUENTES'!$I$22</definedName>
    <definedName name="ROYALTY_ESPECIE_07">#REF!</definedName>
    <definedName name="ROYALTY_ESPECIE_08" localSheetId="0">'ALEXANDRA CIFUENTES'!$J$22</definedName>
    <definedName name="ROYALTY_ESPECIE_08">#REF!</definedName>
    <definedName name="ROYALTY_PERCENTUAL_01" localSheetId="0">'ALEXANDRA CIFUENTES'!$C$21</definedName>
    <definedName name="ROYALTY_PERCENTUAL_01">#REF!</definedName>
    <definedName name="ROYALTY_PERCENTUAL_02" localSheetId="0">'ALEXANDRA CIFUENTES'!$D$21</definedName>
    <definedName name="ROYALTY_PERCENTUAL_02">#REF!</definedName>
    <definedName name="ROYALTY_PERCENTUAL_03" localSheetId="0">'ALEXANDRA CIFUENTES'!$E$21</definedName>
    <definedName name="ROYALTY_PERCENTUAL_03">#REF!</definedName>
    <definedName name="ROYALTY_PERCENTUAL_04" localSheetId="0">'ALEXANDRA CIFUENTES'!$F$21</definedName>
    <definedName name="ROYALTY_PERCENTUAL_04">#REF!</definedName>
    <definedName name="ROYALTY_PERCENTUAL_05" localSheetId="0">'ALEXANDRA CIFUENTES'!$G$21</definedName>
    <definedName name="ROYALTY_PERCENTUAL_05">#REF!</definedName>
    <definedName name="ROYALTY_PERCENTUAL_06" localSheetId="0">'ALEXANDRA CIFUENTES'!$H$21</definedName>
    <definedName name="ROYALTY_PERCENTUAL_06">#REF!</definedName>
    <definedName name="ROYALTY_PERCENTUAL_07" localSheetId="0">'ALEXANDRA CIFUENTES'!$I$21</definedName>
    <definedName name="ROYALTY_PERCENTUAL_07">#REF!</definedName>
    <definedName name="ROYALTY_PERCENTUAL_08" localSheetId="0">'ALEXANDRA CIFUENTES'!$J$21</definedName>
    <definedName name="ROYALTY_PERCENTUAL_08">#REF!</definedName>
    <definedName name="SERVICO" localSheetId="0">'ALEXANDRA CIFUENTES'!$C$80</definedName>
    <definedName name="SERVICO">#REF!</definedName>
    <definedName name="SomaCustos_01" localSheetId="0">'ALEXANDRA CIFUENTES'!$C$58</definedName>
    <definedName name="SomaCustos_01">#REF!</definedName>
    <definedName name="SomaCustos_02" localSheetId="0">'ALEXANDRA CIFUENTES'!$D$58</definedName>
    <definedName name="SomaCustos_02">#REF!</definedName>
    <definedName name="SomaCustos_03" localSheetId="0">'ALEXANDRA CIFUENTES'!$E$58</definedName>
    <definedName name="SomaCustos_03">#REF!</definedName>
    <definedName name="SomaCustos_04" localSheetId="0">'ALEXANDRA CIFUENTES'!$F$58</definedName>
    <definedName name="SomaCustos_04">#REF!</definedName>
    <definedName name="SomaCustos_05" localSheetId="0">'ALEXANDRA CIFUENTES'!$G$58</definedName>
    <definedName name="SomaCustos_05">#REF!</definedName>
    <definedName name="SomaCustos_06" localSheetId="0">'ALEXANDRA CIFUENTES'!$H$58</definedName>
    <definedName name="SomaCustos_06">#REF!</definedName>
    <definedName name="SomaCustos_07" localSheetId="0">'ALEXANDRA CIFUENTES'!$I$58</definedName>
    <definedName name="SomaCustos_07">#REF!</definedName>
    <definedName name="SomaCustos_08" localSheetId="0">'ALEXANDRA CIFUENTES'!$J$58</definedName>
    <definedName name="SomaCustos_08">#REF!</definedName>
    <definedName name="TIPO">OFFSET(APOIO!$F$2,0,0,COUNTA(APOIO!$F:$F)-1,1)</definedName>
    <definedName name="TIRAGEM_01" localSheetId="0">'ALEXANDRA CIFUENTES'!$C$60</definedName>
    <definedName name="TIRAGEM_01">#REF!</definedName>
    <definedName name="TIRAGEM_02" localSheetId="0">'ALEXANDRA CIFUENTES'!$D$60</definedName>
    <definedName name="TIRAGEM_02">#REF!</definedName>
    <definedName name="TIRAGEM_03" localSheetId="0">'ALEXANDRA CIFUENTES'!$E$60</definedName>
    <definedName name="TIRAGEM_03">#REF!</definedName>
    <definedName name="TIRAGEM_04" localSheetId="0">'ALEXANDRA CIFUENTES'!$F$60</definedName>
    <definedName name="TIRAGEM_04">#REF!</definedName>
    <definedName name="TIRAGEM_05" localSheetId="0">'ALEXANDRA CIFUENTES'!$G$60</definedName>
    <definedName name="TIRAGEM_05">#REF!</definedName>
    <definedName name="TIRAGEM_06" localSheetId="0">'ALEXANDRA CIFUENTES'!$H$60</definedName>
    <definedName name="TIRAGEM_06">#REF!</definedName>
    <definedName name="TIRAGEM_07" localSheetId="0">'ALEXANDRA CIFUENTES'!$I$60</definedName>
    <definedName name="TIRAGEM_07">#REF!</definedName>
    <definedName name="TIRAGEM_08" localSheetId="0">'ALEXANDRA CIFUENTES'!$J$60</definedName>
    <definedName name="TIRAGEM_08">#REF!</definedName>
    <definedName name="ValorUnitarioCompras_01" localSheetId="0">'ALEXANDRA CIFUENTES'!$C$75</definedName>
    <definedName name="ValorUnitarioCompras_01">#REF!</definedName>
    <definedName name="ValorUnitarioCompras_02" localSheetId="0">'ALEXANDRA CIFUENTES'!$D$75</definedName>
    <definedName name="ValorUnitarioCompras_02">#REF!</definedName>
    <definedName name="ValorUnitarioCompras_03" localSheetId="0">'ALEXANDRA CIFUENTES'!$E$75</definedName>
    <definedName name="ValorUnitarioCompras_03">#REF!</definedName>
    <definedName name="ValorUnitarioCompras_04" localSheetId="0">'ALEXANDRA CIFUENTES'!$F$75</definedName>
    <definedName name="ValorUnitarioCompras_04">#REF!</definedName>
    <definedName name="ValorUnitarioCompras_05" localSheetId="0">'ALEXANDRA CIFUENTES'!$G$75</definedName>
    <definedName name="ValorUnitarioCompras_05">#REF!</definedName>
    <definedName name="ValorUnitarioCompras_06" localSheetId="0">'ALEXANDRA CIFUENTES'!$H$75</definedName>
    <definedName name="ValorUnitarioCompras_06">#REF!</definedName>
    <definedName name="ValorUnitarioCompras_07" localSheetId="0">'ALEXANDRA CIFUENTES'!$I$75</definedName>
    <definedName name="ValorUnitarioCompras_07">#REF!</definedName>
    <definedName name="ValorUnitarioCompras_08" localSheetId="0">'ALEXANDRA CIFUENTES'!$J$75</definedName>
    <definedName name="ValorUnitarioCompras_08">#REF!</definedName>
    <definedName name="ValorUnitarioMKT_01" localSheetId="0">'ALEXANDRA CIFUENTES'!$C$67</definedName>
    <definedName name="ValorUnitarioMKT_01">#REF!</definedName>
    <definedName name="ValorUnitarioMKT_02" localSheetId="0">'ALEXANDRA CIFUENTES'!$D$67</definedName>
    <definedName name="ValorUnitarioMKT_02">#REF!</definedName>
    <definedName name="ValorUnitarioMKT_03" localSheetId="0">'ALEXANDRA CIFUENTES'!$E$67</definedName>
    <definedName name="ValorUnitarioMKT_03">#REF!</definedName>
    <definedName name="ValorUnitarioMKT_04" localSheetId="0">'ALEXANDRA CIFUENTES'!$F$67</definedName>
    <definedName name="ValorUnitarioMKT_04">#REF!</definedName>
    <definedName name="ValorUnitarioMKT_05" localSheetId="0">'ALEXANDRA CIFUENTES'!$G$67</definedName>
    <definedName name="ValorUnitarioMKT_05">#REF!</definedName>
    <definedName name="ValorUnitarioMKT_06" localSheetId="0">'ALEXANDRA CIFUENTES'!$H$67</definedName>
    <definedName name="ValorUnitarioMKT_06">#REF!</definedName>
    <definedName name="ValorUnitarioMKT_07" localSheetId="0">'ALEXANDRA CIFUENTES'!$I$67</definedName>
    <definedName name="ValorUnitarioMKT_07">#REF!</definedName>
    <definedName name="ValorUnitarioMKT_08" localSheetId="0">'ALEXANDRA CIFUENTES'!$J$67</definedName>
    <definedName name="ValorUnitarioMKT_08">#REF!</definedName>
    <definedName name="VENDAS" localSheetId="0">OFFSET('ALEXANDRA CIFUENTES'!$S$3,0,0,COUNTA('ALEXANDRA CIFUENTES'!$S:$S)-2,1)</definedName>
    <definedName name="VENDAS">OFFSET(#REF!,0,0,COUNTA(#REF!)-2,1)</definedName>
    <definedName name="Z_437F6487_5027_419A_843F_1746F5494E4F_.wvu.FilterData" localSheetId="0" hidden="1">'ALEXANDRA CIFUENTES'!#REF!</definedName>
    <definedName name="Z_437F6487_5027_419A_843F_1746F5494E4F_.wvu.PrintArea" localSheetId="0" hidden="1">'ALEXANDRA CIFUENTES'!$B$1:$J$60</definedName>
    <definedName name="Z_5B1E8DBA_90DA_43E8_AAC8_B7C5A23492D3_.wvu.FilterData" localSheetId="0" hidden="1">'ALEXANDRA CIFUENTES'!#REF!</definedName>
    <definedName name="Z_5B1E8DBA_90DA_43E8_AAC8_B7C5A23492D3_.wvu.PrintArea" localSheetId="0" hidden="1">'ALEXANDRA CIFUENTES'!$B$1:$J$60</definedName>
  </definedNames>
  <calcPr calcId="152511"/>
</workbook>
</file>

<file path=xl/calcChain.xml><?xml version="1.0" encoding="utf-8"?>
<calcChain xmlns="http://schemas.openxmlformats.org/spreadsheetml/2006/main">
  <c r="J82" i="29" l="1"/>
  <c r="J86" i="29" s="1"/>
  <c r="I82" i="29"/>
  <c r="I86" i="29" s="1"/>
  <c r="H82" i="29"/>
  <c r="H86" i="29" s="1"/>
  <c r="G82" i="29"/>
  <c r="G86" i="29" s="1"/>
  <c r="F82" i="29"/>
  <c r="F86" i="29" s="1"/>
  <c r="E82" i="29"/>
  <c r="E86" i="29" s="1"/>
  <c r="D82" i="29"/>
  <c r="D86" i="29" s="1"/>
  <c r="C82" i="29"/>
  <c r="C86" i="29" s="1"/>
  <c r="J72" i="29"/>
  <c r="J76" i="29" s="1"/>
  <c r="I72" i="29"/>
  <c r="I76" i="29" s="1"/>
  <c r="H72" i="29"/>
  <c r="H76" i="29" s="1"/>
  <c r="G72" i="29"/>
  <c r="G76" i="29" s="1"/>
  <c r="F72" i="29"/>
  <c r="F76" i="29" s="1"/>
  <c r="E72" i="29"/>
  <c r="E76" i="29" s="1"/>
  <c r="D72" i="29"/>
  <c r="D76" i="29" s="1"/>
  <c r="C72" i="29"/>
  <c r="C76" i="29" s="1"/>
  <c r="J62" i="29"/>
  <c r="J63" i="29" s="1"/>
  <c r="I62" i="29"/>
  <c r="I63" i="29" s="1"/>
  <c r="H62" i="29"/>
  <c r="H63" i="29" s="1"/>
  <c r="G62" i="29"/>
  <c r="F62" i="29"/>
  <c r="E62" i="29"/>
  <c r="D62" i="29"/>
  <c r="C62" i="29"/>
  <c r="I35" i="29"/>
  <c r="I60" i="29" s="1"/>
  <c r="I67" i="29" s="1"/>
  <c r="I66" i="29" s="1"/>
  <c r="E35" i="29"/>
  <c r="E60" i="29" s="1"/>
  <c r="B60" i="29"/>
  <c r="J36" i="29"/>
  <c r="J58" i="29" s="1"/>
  <c r="I36" i="29"/>
  <c r="I58" i="29" s="1"/>
  <c r="H36" i="29"/>
  <c r="H58" i="29" s="1"/>
  <c r="G36" i="29"/>
  <c r="G58" i="29" s="1"/>
  <c r="F36" i="29"/>
  <c r="F58" i="29" s="1"/>
  <c r="E36" i="29"/>
  <c r="E58" i="29" s="1"/>
  <c r="D36" i="29"/>
  <c r="D58" i="29" s="1"/>
  <c r="D69" i="29" s="1"/>
  <c r="D68" i="29" s="1"/>
  <c r="C36" i="29"/>
  <c r="C58" i="29" s="1"/>
  <c r="J35" i="29"/>
  <c r="J60" i="29" s="1"/>
  <c r="H35" i="29"/>
  <c r="H60" i="29" s="1"/>
  <c r="G35" i="29"/>
  <c r="G60" i="29" s="1"/>
  <c r="G84" i="29" s="1"/>
  <c r="F35" i="29"/>
  <c r="F60" i="29" s="1"/>
  <c r="D35" i="29"/>
  <c r="D60" i="29" s="1"/>
  <c r="C35" i="29"/>
  <c r="C60" i="29" s="1"/>
  <c r="J16" i="29"/>
  <c r="I16" i="29"/>
  <c r="H16" i="29"/>
  <c r="G16" i="29"/>
  <c r="F16" i="29"/>
  <c r="E16" i="29"/>
  <c r="D16" i="29"/>
  <c r="C16" i="29"/>
  <c r="K12" i="29"/>
  <c r="K4" i="29"/>
  <c r="P7" i="27"/>
  <c r="Q7" i="27" s="1"/>
  <c r="N7" i="27"/>
  <c r="N6" i="27"/>
  <c r="P6" i="27" s="1"/>
  <c r="Q6" i="27" s="1"/>
  <c r="N5" i="27"/>
  <c r="P5" i="27" s="1"/>
  <c r="Q5" i="27" s="1"/>
  <c r="D5" i="27"/>
  <c r="N4" i="27"/>
  <c r="P4" i="27" s="1"/>
  <c r="Q4" i="27" s="1"/>
  <c r="D4" i="27"/>
  <c r="Z7" i="26"/>
  <c r="AB7" i="26" s="1"/>
  <c r="AC7" i="26" s="1"/>
  <c r="Z6" i="26"/>
  <c r="AB6" i="26" s="1"/>
  <c r="AC6" i="26" s="1"/>
  <c r="AB5" i="26"/>
  <c r="AC5" i="26" s="1"/>
  <c r="Z5" i="26"/>
  <c r="M5" i="26"/>
  <c r="AB4" i="26"/>
  <c r="AC4" i="26" s="1"/>
  <c r="Z4" i="26"/>
  <c r="M4" i="26"/>
  <c r="F2" i="22"/>
  <c r="C2" i="22"/>
  <c r="F4" i="22"/>
  <c r="F5" i="22"/>
  <c r="G63" i="29" l="1"/>
  <c r="H77" i="29"/>
  <c r="H69" i="29"/>
  <c r="H68" i="29" s="1"/>
  <c r="J67" i="29"/>
  <c r="J66" i="29" s="1"/>
  <c r="J75" i="29"/>
  <c r="G67" i="29"/>
  <c r="G66" i="29" s="1"/>
  <c r="E67" i="29"/>
  <c r="E66" i="29" s="1"/>
  <c r="E84" i="29"/>
  <c r="D84" i="29"/>
  <c r="D67" i="29"/>
  <c r="D66" i="29" s="1"/>
  <c r="J84" i="29"/>
  <c r="E63" i="29"/>
  <c r="E75" i="29"/>
  <c r="C63" i="29"/>
  <c r="F63" i="29"/>
  <c r="D63" i="29"/>
  <c r="D77" i="29"/>
  <c r="D74" i="29"/>
  <c r="J74" i="29"/>
  <c r="J69" i="29"/>
  <c r="J68" i="29" s="1"/>
  <c r="F77" i="29"/>
  <c r="F74" i="29"/>
  <c r="F69" i="29"/>
  <c r="F68" i="29" s="1"/>
  <c r="I74" i="29"/>
  <c r="F84" i="29"/>
  <c r="F67" i="29"/>
  <c r="F66" i="29" s="1"/>
  <c r="G69" i="29"/>
  <c r="G68" i="29" s="1"/>
  <c r="G77" i="29"/>
  <c r="G74" i="29"/>
  <c r="C75" i="29"/>
  <c r="C67" i="29"/>
  <c r="C66" i="29" s="1"/>
  <c r="C84" i="29"/>
  <c r="E77" i="29"/>
  <c r="E74" i="29"/>
  <c r="E69" i="29"/>
  <c r="E68" i="29" s="1"/>
  <c r="C77" i="29"/>
  <c r="C69" i="29"/>
  <c r="C68" i="29" s="1"/>
  <c r="C74" i="29"/>
  <c r="H84" i="29"/>
  <c r="H67" i="29"/>
  <c r="H66" i="29" s="1"/>
  <c r="I69" i="29"/>
  <c r="I68" i="29" s="1"/>
  <c r="I77" i="29"/>
  <c r="H75" i="29"/>
  <c r="F75" i="29"/>
  <c r="D75" i="29"/>
  <c r="I75" i="29"/>
  <c r="G75" i="29"/>
  <c r="I84" i="29"/>
  <c r="J77" i="29"/>
  <c r="H74" i="29"/>
</calcChain>
</file>

<file path=xl/comments1.xml><?xml version="1.0" encoding="utf-8"?>
<comments xmlns="http://schemas.openxmlformats.org/spreadsheetml/2006/main">
  <authors>
    <author>AILTON</author>
  </authors>
  <commentList>
    <comment ref="B63" authorId="0" shape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 shape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 shape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 shape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 shape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 shape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 shape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 shape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 shape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 shape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 shape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 shape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 shape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 shape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 shape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<sst xmlns="http://schemas.openxmlformats.org/spreadsheetml/2006/main" count="1691" uniqueCount="1286">
  <si>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</si>
  <si>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</si>
  <si>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</si>
  <si>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</si>
  <si>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</si>
  <si>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</si>
  <si>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</si>
  <si>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</si>
  <si>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</si>
  <si>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</si>
  <si>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</si>
  <si>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</si>
  <si>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</si>
  <si>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</si>
  <si>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</si>
  <si>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</si>
  <si>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</si>
  <si>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</si>
  <si>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</si>
  <si>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</si>
  <si>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</si>
  <si>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</si>
  <si>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</si>
  <si>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</si>
  <si>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</si>
  <si>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</si>
  <si>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</si>
  <si>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</si>
  <si>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</si>
  <si>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</si>
  <si>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</si>
  <si>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</si>
  <si>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</si>
  <si>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</si>
  <si>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</si>
  <si>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</si>
  <si>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</si>
  <si>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</si>
  <si>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</si>
  <si>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</si>
  <si>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</si>
  <si>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</si>
  <si>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</si>
  <si>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</si>
  <si>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</si>
  <si>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</si>
  <si>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</si>
  <si>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</si>
  <si>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</si>
  <si>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</si>
  <si>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</si>
  <si>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</si>
  <si>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</si>
  <si>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</si>
  <si>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</si>
  <si>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</si>
  <si>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</si>
  <si>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</si>
  <si>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</si>
  <si>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</si>
  <si>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</si>
  <si>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</si>
  <si>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</si>
  <si>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</si>
  <si>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</si>
  <si>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</si>
  <si>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</si>
  <si>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</si>
  <si>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</si>
  <si>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</si>
  <si>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</si>
  <si>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</si>
  <si>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</si>
  <si>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</si>
  <si>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</si>
  <si>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</si>
  <si>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</si>
  <si>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</si>
  <si>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</si>
  <si>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</si>
  <si>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</si>
  <si>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</si>
  <si>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</si>
  <si>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</si>
  <si>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</si>
  <si>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</si>
  <si>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</si>
  <si>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</si>
  <si>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</si>
  <si>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</si>
  <si>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</si>
  <si>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</si>
  <si>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</si>
  <si>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</si>
  <si>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</si>
  <si>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</si>
  <si>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</si>
  <si>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</si>
  <si>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</si>
  <si>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</si>
  <si>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</si>
  <si>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</si>
  <si>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</si>
  <si>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</si>
  <si>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</si>
  <si>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</si>
  <si>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</si>
  <si>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</si>
  <si>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</si>
  <si>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</si>
  <si>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</si>
  <si>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</si>
  <si>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</si>
  <si>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</si>
  <si>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</si>
  <si>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</si>
  <si>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</si>
  <si>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</si>
  <si>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</si>
  <si>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</si>
  <si>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</si>
  <si>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</si>
  <si>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</si>
  <si>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</si>
  <si>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</si>
  <si>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</si>
  <si>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</si>
  <si>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</si>
  <si>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</si>
  <si>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</si>
  <si>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</si>
  <si>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</si>
  <si>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</si>
  <si>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</si>
  <si>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</si>
  <si>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</si>
  <si>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</si>
  <si>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</si>
  <si>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</si>
  <si>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</si>
  <si>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</si>
  <si>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</si>
  <si>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</si>
  <si>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</si>
  <si>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</si>
  <si>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</si>
  <si>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</si>
  <si>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</si>
  <si>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</si>
  <si>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</si>
  <si>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</si>
  <si>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</si>
  <si>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</si>
  <si>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</si>
  <si>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</si>
  <si>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</si>
  <si>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</si>
  <si>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</si>
  <si>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</si>
  <si>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</si>
  <si>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</si>
  <si>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</si>
  <si>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</si>
  <si>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</si>
  <si>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</si>
  <si>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</si>
  <si>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</si>
  <si>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</si>
  <si>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</si>
  <si>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</si>
  <si>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</si>
  <si>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</si>
  <si>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</si>
  <si>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</si>
  <si>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</si>
  <si>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</si>
  <si>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</si>
  <si>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</si>
  <si>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</si>
  <si>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</si>
  <si>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</si>
  <si>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</si>
  <si>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</si>
  <si>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</si>
  <si>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</si>
  <si>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</si>
  <si>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</si>
  <si>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</si>
  <si>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</si>
  <si>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</si>
  <si>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</si>
  <si>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</si>
  <si>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</si>
  <si>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</si>
  <si>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</si>
  <si>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</si>
  <si>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</si>
  <si>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</si>
  <si>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</si>
  <si>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</si>
  <si>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</si>
  <si>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</si>
  <si>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</si>
  <si>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</si>
  <si>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</si>
  <si>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</si>
  <si>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</si>
  <si>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</si>
  <si>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</si>
  <si>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</si>
  <si>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</si>
  <si>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</si>
  <si>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</si>
  <si>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</si>
  <si>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</si>
  <si>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</si>
  <si>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</si>
  <si>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</si>
  <si>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</si>
  <si>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</si>
  <si>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</si>
  <si>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</si>
  <si>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</si>
  <si>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</si>
  <si>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</si>
  <si>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</si>
  <si>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</si>
  <si>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</si>
  <si>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</si>
  <si>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</si>
  <si>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</si>
  <si>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</si>
  <si>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</si>
  <si>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</si>
  <si>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</si>
  <si>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</si>
  <si>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</si>
  <si>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</si>
  <si>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</si>
  <si>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</si>
  <si>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</si>
  <si>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</si>
  <si>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</si>
  <si>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</si>
  <si>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</si>
  <si>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</si>
  <si>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</si>
  <si>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</si>
  <si>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</si>
  <si>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</si>
  <si>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</si>
  <si>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</si>
  <si>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</si>
  <si>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</si>
  <si>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</si>
  <si>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</si>
  <si>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</si>
  <si>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</si>
  <si>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</si>
  <si>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</si>
  <si>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</si>
  <si>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</si>
  <si>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</si>
  <si>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</si>
  <si>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</si>
  <si>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</si>
  <si>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</si>
  <si>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</si>
  <si>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</si>
  <si>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</si>
  <si>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</si>
  <si>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</si>
  <si>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</si>
  <si>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</si>
  <si>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</si>
  <si>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</si>
  <si>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</si>
  <si>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</si>
  <si>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</si>
  <si>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</si>
  <si>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</si>
  <si>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</si>
  <si>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</si>
  <si>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</si>
  <si>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</si>
  <si>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</si>
  <si>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</si>
  <si>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</si>
  <si>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</si>
  <si>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</si>
  <si>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</si>
  <si>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</si>
  <si>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</si>
  <si>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</si>
  <si>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</si>
  <si>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</si>
  <si>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</si>
  <si>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</si>
  <si>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</si>
  <si>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</si>
  <si>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</si>
  <si>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</si>
  <si>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</si>
  <si>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</si>
  <si>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</si>
  <si>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</si>
  <si>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</si>
  <si>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</si>
  <si>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</si>
  <si>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</si>
  <si>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</si>
  <si>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</si>
  <si>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</si>
  <si>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</si>
  <si>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</si>
  <si>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</si>
  <si>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</si>
  <si>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</si>
  <si>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</si>
  <si>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</si>
  <si>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</si>
  <si>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</si>
  <si>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</si>
  <si>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</si>
  <si>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</si>
  <si>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</si>
  <si>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</si>
  <si>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</si>
  <si>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</si>
  <si>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</si>
  <si>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</si>
  <si>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</si>
  <si>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</si>
  <si>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</si>
  <si>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</si>
  <si>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</si>
  <si>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</si>
  <si>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</si>
  <si>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</si>
  <si>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</si>
  <si>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</si>
  <si>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</si>
  <si>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</si>
  <si>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</si>
  <si>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</si>
  <si>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</si>
  <si>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</si>
  <si>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</si>
  <si>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</si>
  <si>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</si>
  <si>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</si>
  <si>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</si>
  <si>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</si>
  <si>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</si>
  <si>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</si>
  <si>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</si>
  <si>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</si>
  <si>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</si>
  <si>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</si>
  <si>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</si>
  <si>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</si>
  <si>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</si>
  <si>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</si>
  <si>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</si>
  <si>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</si>
  <si>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</si>
  <si>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</si>
  <si>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</si>
  <si>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</si>
  <si>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</si>
  <si>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</si>
  <si>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</si>
  <si>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</si>
  <si>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</si>
  <si>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</si>
  <si>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</si>
  <si>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</si>
  <si>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</si>
  <si>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</si>
  <si>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</si>
  <si>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</si>
  <si>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</si>
  <si>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</si>
  <si>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</si>
  <si>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</si>
  <si>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</si>
  <si>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</si>
  <si>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</si>
  <si>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</si>
  <si>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</si>
  <si>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</si>
  <si>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</si>
  <si>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</si>
  <si>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</si>
  <si>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</si>
  <si>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</si>
  <si>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</si>
  <si>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</si>
  <si>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</si>
  <si>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</si>
  <si>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</si>
  <si>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</si>
  <si>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</si>
  <si>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</si>
  <si>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</si>
  <si>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</si>
  <si>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</si>
  <si>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</si>
  <si>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</si>
  <si>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</si>
  <si>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</si>
  <si>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</si>
  <si>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</si>
  <si>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</si>
  <si>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</si>
  <si>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</si>
  <si>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</si>
  <si>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</si>
  <si>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</si>
  <si>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</si>
  <si>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</si>
  <si>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</si>
  <si>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</si>
  <si>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</si>
  <si>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</si>
  <si>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</si>
  <si>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</si>
  <si>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</si>
  <si>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</si>
  <si>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</si>
  <si>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</si>
  <si>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</si>
  <si>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</si>
  <si>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</si>
  <si>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</si>
  <si>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</si>
  <si>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</si>
  <si>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</si>
  <si>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</si>
  <si>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</si>
  <si>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</si>
  <si>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</si>
  <si>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</si>
  <si>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</si>
  <si>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</si>
  <si>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</si>
  <si>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</si>
  <si>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</si>
  <si>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</si>
  <si>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</si>
  <si>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</si>
  <si>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</si>
  <si>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</si>
  <si>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</si>
  <si>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</si>
  <si>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</si>
  <si>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</si>
  <si>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</si>
  <si>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</si>
  <si>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</si>
  <si>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</si>
  <si>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</si>
  <si>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</si>
  <si>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</si>
  <si>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</si>
  <si>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</si>
  <si>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</si>
  <si>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</si>
  <si>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</si>
  <si>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</si>
  <si>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</si>
  <si>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</si>
  <si>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</si>
  <si>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</si>
  <si>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</si>
  <si>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</si>
  <si>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</si>
  <si>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</si>
  <si>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</si>
  <si>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</si>
  <si>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</si>
  <si>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</si>
  <si>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</si>
  <si>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</si>
  <si>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</si>
  <si>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</si>
  <si>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</si>
  <si>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</si>
  <si>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</si>
  <si>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</si>
  <si>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</si>
  <si>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</si>
  <si>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</si>
  <si>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</si>
  <si>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</si>
  <si>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</si>
  <si>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</si>
  <si>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</si>
  <si>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</si>
  <si>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</si>
  <si>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</si>
  <si>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</si>
  <si>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</si>
  <si>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</si>
  <si>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</si>
  <si>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</si>
  <si>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</si>
  <si>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</si>
  <si>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</si>
  <si>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</si>
  <si>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</si>
  <si>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</si>
  <si>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</si>
  <si>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</si>
  <si>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</si>
  <si>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</si>
  <si>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</si>
  <si>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</si>
  <si>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</si>
  <si>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</si>
  <si>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</si>
  <si>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</si>
  <si>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</si>
  <si>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</si>
  <si>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</si>
  <si>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</si>
  <si>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</si>
  <si>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</si>
  <si>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</si>
  <si>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</si>
  <si>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</si>
  <si>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</si>
  <si>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</si>
  <si>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</si>
  <si>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</si>
  <si>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</si>
  <si>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</si>
  <si>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</si>
  <si>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</si>
  <si>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</si>
  <si>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</si>
  <si>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</si>
  <si>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</si>
  <si>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</si>
  <si>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</si>
  <si>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</si>
  <si>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</si>
  <si>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</si>
  <si>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</si>
  <si>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</si>
  <si>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</si>
  <si>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</si>
  <si>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</si>
  <si>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</si>
  <si>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</si>
  <si>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</si>
  <si>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</si>
  <si>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</si>
  <si>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</si>
  <si>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</si>
  <si>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</si>
  <si>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</si>
  <si>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</si>
  <si>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</si>
  <si>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</si>
  <si>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</si>
  <si>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</si>
  <si>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</si>
  <si>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</si>
  <si>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</si>
  <si>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</si>
  <si>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</si>
  <si>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</si>
  <si>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</si>
  <si>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</si>
  <si>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</si>
  <si>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</si>
  <si>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</si>
  <si>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</si>
  <si>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</si>
  <si>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</si>
  <si>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</si>
  <si>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</si>
  <si>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</si>
  <si>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</si>
  <si>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</si>
  <si>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</si>
  <si>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</si>
  <si>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</si>
  <si>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</si>
  <si>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</si>
  <si>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</si>
  <si>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</si>
  <si>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</si>
  <si>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</si>
  <si>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</si>
  <si>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</si>
  <si>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</si>
  <si>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</si>
  <si>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</si>
  <si>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</si>
  <si>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</si>
  <si>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</si>
  <si>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</si>
  <si>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</si>
  <si>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</si>
  <si>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</si>
  <si>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</si>
  <si>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</si>
  <si>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</si>
  <si>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</si>
  <si>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</si>
  <si>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</si>
  <si>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</si>
  <si>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</si>
  <si>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</si>
  <si>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</si>
  <si>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</si>
  <si>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</si>
  <si>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</si>
  <si>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</si>
  <si>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</si>
  <si>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</si>
  <si>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</si>
  <si>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</si>
  <si>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</si>
  <si>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</si>
  <si>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</si>
  <si>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</si>
  <si>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</si>
  <si>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</si>
  <si>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</si>
  <si>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</si>
  <si>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</si>
  <si>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</si>
  <si>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</si>
  <si>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</si>
  <si>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</si>
  <si>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</si>
  <si>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</si>
  <si>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</si>
  <si>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</si>
  <si>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</si>
  <si>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</si>
  <si>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</si>
  <si>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</si>
  <si>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</si>
  <si>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</si>
  <si>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</si>
  <si>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</si>
  <si>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</si>
  <si>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</si>
  <si>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</si>
  <si>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</si>
  <si>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</si>
  <si>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</si>
  <si>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</si>
  <si>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</si>
  <si>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</si>
  <si>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</si>
  <si>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</si>
  <si>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</si>
  <si>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</si>
  <si>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</si>
  <si>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</si>
  <si>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</si>
  <si>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</si>
  <si>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</si>
  <si>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</si>
  <si>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</si>
  <si>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</si>
  <si>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</si>
  <si>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</si>
  <si>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</si>
  <si>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</si>
  <si>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</si>
  <si>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</si>
  <si>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</si>
  <si>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</si>
  <si>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</si>
  <si>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</si>
  <si>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</si>
  <si>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</si>
  <si>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</si>
  <si>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</si>
  <si>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</si>
  <si>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</si>
  <si>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</si>
  <si>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</si>
  <si>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</si>
  <si>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</si>
  <si>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</si>
  <si>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</si>
  <si>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</si>
  <si>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</si>
  <si>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</si>
  <si>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</si>
  <si>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</si>
  <si>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</si>
  <si>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</si>
  <si>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</si>
  <si>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</si>
  <si>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</si>
  <si>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</si>
  <si>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</si>
  <si>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</si>
  <si>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</si>
  <si>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</si>
  <si>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</si>
  <si>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</si>
  <si>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</si>
  <si>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</si>
  <si>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</si>
  <si>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</si>
  <si>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</si>
  <si>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</si>
  <si>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</si>
  <si>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</si>
  <si>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</si>
  <si>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</si>
  <si>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</si>
  <si>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</si>
  <si>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</si>
  <si>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</si>
  <si>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</si>
  <si>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</si>
  <si>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</si>
  <si>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</si>
  <si>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</si>
  <si>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</si>
  <si>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</si>
  <si>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</si>
  <si>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</si>
  <si>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</si>
  <si>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</si>
  <si>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</si>
  <si>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</si>
  <si>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</si>
  <si>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</si>
  <si>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</si>
  <si>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</si>
  <si>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</si>
  <si>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</si>
  <si>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</si>
  <si>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</si>
  <si>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</si>
  <si>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</si>
  <si>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</si>
  <si>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</si>
  <si>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</si>
  <si>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</si>
  <si>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</si>
  <si>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</si>
  <si>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</si>
  <si>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</si>
  <si>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</si>
  <si>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</si>
  <si>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</si>
  <si>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</si>
  <si>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</si>
  <si>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</si>
  <si>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</si>
  <si>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</si>
  <si>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</si>
  <si>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</si>
  <si>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</si>
  <si>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</si>
  <si>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</si>
  <si>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</si>
  <si>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</si>
  <si>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</si>
  <si>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</si>
  <si>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</si>
  <si>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</si>
  <si>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</si>
  <si>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</si>
  <si>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</si>
  <si>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</si>
  <si>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</si>
  <si>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</si>
  <si>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</si>
  <si>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</si>
  <si>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</si>
  <si>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</si>
  <si>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</si>
  <si>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</si>
  <si>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</si>
  <si>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</si>
  <si>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</si>
  <si>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</si>
  <si>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</si>
  <si>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</si>
  <si>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</si>
  <si>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</si>
  <si>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</si>
  <si>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</si>
  <si>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</si>
  <si>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</si>
  <si>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</si>
  <si>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</si>
  <si>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</si>
  <si>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</si>
  <si>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</si>
  <si>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</si>
  <si>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</si>
  <si>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</si>
  <si>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</si>
  <si>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</si>
  <si>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</si>
  <si>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</si>
  <si>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</si>
  <si>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</si>
  <si>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</si>
  <si>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</si>
  <si>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</si>
  <si>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</si>
  <si>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</si>
  <si>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</si>
  <si>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</si>
  <si>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</si>
  <si>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</si>
  <si>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</si>
  <si>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</si>
  <si>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</si>
  <si>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</si>
  <si>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</si>
  <si>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</si>
  <si>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</si>
  <si>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</si>
  <si>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</si>
  <si>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</si>
  <si>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</si>
  <si>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</si>
  <si>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</si>
  <si>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</si>
  <si>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</si>
  <si>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</si>
  <si>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</si>
  <si>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</si>
  <si>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</si>
  <si>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</si>
  <si>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</si>
  <si>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</si>
  <si>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</si>
  <si>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</si>
  <si>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</si>
  <si>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</si>
  <si>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</si>
  <si>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</si>
  <si>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</si>
  <si>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</si>
  <si>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</si>
  <si>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</si>
  <si>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</si>
  <si>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</si>
  <si>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</si>
  <si>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</si>
  <si>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</si>
  <si>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</si>
  <si>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</si>
  <si>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</si>
  <si>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</si>
  <si>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</si>
  <si>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</si>
  <si>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</si>
  <si>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</si>
  <si>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</si>
  <si>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</si>
  <si>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</si>
  <si>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</si>
  <si>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</si>
  <si>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</si>
  <si>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</si>
  <si>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</si>
  <si>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</si>
  <si>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</si>
  <si>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</si>
  <si>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</si>
  <si>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</si>
  <si>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</si>
  <si>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</si>
  <si>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</si>
  <si>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</si>
  <si>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</si>
  <si>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</si>
  <si>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</si>
  <si>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</si>
  <si>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</si>
  <si>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</si>
  <si>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</si>
  <si>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</si>
  <si>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</si>
  <si>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</si>
  <si>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</si>
  <si>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</si>
  <si>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</si>
  <si>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</si>
  <si>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</si>
  <si>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</si>
  <si>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</si>
  <si>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</si>
  <si>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</si>
  <si>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</si>
  <si>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</si>
  <si>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</si>
  <si>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</si>
  <si>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</si>
  <si>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</si>
  <si>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</si>
  <si>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</si>
  <si>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</si>
  <si>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</si>
  <si>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</si>
  <si>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</si>
  <si>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</si>
  <si>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</si>
  <si>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</si>
  <si>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</si>
  <si>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</si>
  <si>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</si>
  <si>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</si>
  <si>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</si>
  <si>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</si>
  <si>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</si>
  <si>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</si>
  <si>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</si>
  <si>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</si>
  <si>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</si>
  <si>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</si>
  <si>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</si>
  <si>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</si>
  <si>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</si>
  <si>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</si>
  <si>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</si>
  <si>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</si>
  <si>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</si>
  <si>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</si>
  <si>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</si>
  <si>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</si>
  <si>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</si>
  <si>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</si>
  <si>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</si>
  <si>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</si>
  <si>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</si>
  <si>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</si>
  <si>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</si>
  <si>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</si>
  <si>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</si>
  <si>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</si>
  <si>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</si>
  <si>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</si>
  <si>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</si>
  <si>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</si>
  <si>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</si>
  <si>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</si>
  <si>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</si>
  <si>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</si>
  <si>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</si>
  <si>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</si>
  <si>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</si>
  <si>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</si>
  <si>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</si>
  <si>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</si>
  <si>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</si>
  <si>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</si>
  <si>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</si>
  <si>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</si>
  <si>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</si>
  <si>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</si>
  <si>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</si>
  <si>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</si>
  <si>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</si>
  <si>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</si>
  <si>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</si>
  <si>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</si>
  <si>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</si>
  <si>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</si>
  <si>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</si>
  <si>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</si>
  <si>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</si>
  <si>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</si>
  <si>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</si>
  <si>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</si>
  <si>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</si>
  <si>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</si>
  <si>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</si>
  <si>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</si>
  <si>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</si>
  <si>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</si>
  <si>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</si>
  <si>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</si>
  <si>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</si>
  <si>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</si>
  <si>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</si>
  <si>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</si>
  <si>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</si>
  <si>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</si>
  <si>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</si>
  <si>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</si>
  <si>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</si>
  <si>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</si>
  <si>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</si>
  <si>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</si>
  <si>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</si>
  <si>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</si>
  <si>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</si>
  <si>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</si>
  <si>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</si>
  <si>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</si>
  <si>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</si>
  <si>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</si>
  <si>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</si>
  <si>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</si>
  <si>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</si>
  <si>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</si>
  <si>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</si>
  <si>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</si>
  <si>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</si>
  <si>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</si>
  <si>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</si>
  <si>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</si>
  <si>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</si>
  <si>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</si>
  <si>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</si>
  <si>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</si>
  <si>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</si>
  <si>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</si>
  <si>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</si>
  <si>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</si>
  <si>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</si>
  <si>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</si>
  <si>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</si>
  <si>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</si>
  <si>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</si>
  <si>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</si>
  <si>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</si>
  <si>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</si>
  <si>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</si>
  <si>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</si>
  <si>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</si>
  <si>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</si>
  <si>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</si>
  <si>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</si>
  <si>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</si>
  <si>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</si>
  <si>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</si>
  <si>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</si>
  <si>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</si>
  <si>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</si>
  <si>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</si>
  <si>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</si>
  <si>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</si>
  <si>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</si>
  <si>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</si>
  <si>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</si>
  <si>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</si>
  <si>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</si>
  <si>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</si>
  <si>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</si>
  <si>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</si>
  <si>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</si>
  <si>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</si>
  <si>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</si>
  <si>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</si>
  <si>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</si>
  <si>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</si>
  <si>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</si>
  <si>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</si>
  <si>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</si>
  <si>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</si>
  <si>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</si>
  <si>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</si>
  <si>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</si>
  <si>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</si>
  <si>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</si>
  <si>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</si>
  <si>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</si>
  <si>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</si>
  <si>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</si>
  <si>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</si>
  <si>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</si>
  <si>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</si>
  <si>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</si>
  <si>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</si>
  <si>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</si>
  <si>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</si>
  <si>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</si>
  <si>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</si>
  <si>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</si>
  <si>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</si>
  <si>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</si>
  <si>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</si>
  <si>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</si>
  <si>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</si>
  <si>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</si>
  <si>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</si>
  <si>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</si>
  <si>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</si>
  <si>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</si>
  <si>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</si>
  <si>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</si>
  <si>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</si>
  <si>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</si>
  <si>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</si>
  <si>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</si>
  <si>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</si>
  <si>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</si>
  <si>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</si>
  <si>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</si>
  <si>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</si>
  <si>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</si>
  <si>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</si>
  <si>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</si>
  <si>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</si>
  <si>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</si>
  <si>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</si>
  <si>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</si>
  <si>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</si>
  <si>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</si>
  <si>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</si>
  <si>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</si>
  <si>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</si>
  <si>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</si>
  <si>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</si>
  <si>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</si>
  <si>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</si>
  <si>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</si>
  <si>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</si>
  <si>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</si>
  <si>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</si>
  <si>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</si>
  <si>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</si>
  <si>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</si>
  <si>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</si>
  <si>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</si>
  <si>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</si>
  <si>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</si>
  <si>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</si>
  <si>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</si>
  <si>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</si>
  <si>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</si>
  <si>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</si>
  <si>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</si>
  <si>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</si>
  <si>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</si>
  <si>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</si>
  <si>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</si>
  <si>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</si>
  <si>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</si>
  <si>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</si>
  <si>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</si>
  <si>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</si>
  <si>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</si>
  <si>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</si>
  <si>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</si>
  <si>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</si>
  <si>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</si>
  <si>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</si>
  <si>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</si>
  <si>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</si>
  <si>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</si>
  <si>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</si>
  <si>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</si>
  <si>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</si>
  <si>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</si>
  <si>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</si>
  <si>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</si>
  <si>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</si>
  <si>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</si>
  <si>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</si>
  <si>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</si>
  <si>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</si>
  <si>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</si>
  <si>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</si>
  <si>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</si>
  <si>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</si>
  <si>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</si>
  <si>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</si>
  <si>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</si>
  <si>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</si>
  <si>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</si>
  <si>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</si>
  <si>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</si>
  <si>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</si>
  <si>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</si>
  <si>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</si>
  <si>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</si>
  <si>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</si>
  <si>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</si>
  <si>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</si>
  <si>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</si>
  <si>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</si>
  <si>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</si>
  <si>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</si>
  <si>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</si>
  <si>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</si>
  <si>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</si>
  <si>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</si>
  <si>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</si>
  <si>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</si>
  <si>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</si>
  <si>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</si>
  <si>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</si>
  <si>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</si>
  <si>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</si>
  <si>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</si>
  <si>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</si>
  <si>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</si>
  <si>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</si>
  <si>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</si>
  <si>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</si>
  <si>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</si>
  <si>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</si>
  <si>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</si>
  <si>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</si>
  <si>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</si>
  <si>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</si>
  <si>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</si>
  <si>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</si>
  <si>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</si>
  <si>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</si>
  <si>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</si>
  <si>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</si>
  <si>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</si>
  <si>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</si>
  <si>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</si>
  <si>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</si>
  <si>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</si>
  <si>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</si>
  <si>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</si>
  <si>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</si>
  <si>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</si>
  <si>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</si>
  <si>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</si>
  <si>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</si>
  <si>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</si>
  <si>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</si>
  <si>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</si>
  <si>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</si>
  <si>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</si>
  <si>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</si>
  <si>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</si>
  <si>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</si>
  <si>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</si>
  <si>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</si>
  <si>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</si>
  <si>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</si>
  <si>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</si>
  <si>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</si>
  <si>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</si>
  <si>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</si>
  <si>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</si>
  <si>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</si>
  <si>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</si>
  <si>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</si>
  <si>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</si>
  <si>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</si>
  <si>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</si>
  <si>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</si>
  <si>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</si>
  <si>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</si>
  <si>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</si>
  <si>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</si>
  <si>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</si>
  <si>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</si>
  <si>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</si>
  <si>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</si>
  <si>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</si>
  <si>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</si>
  <si>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</si>
  <si>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</si>
  <si>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</si>
  <si>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</si>
  <si>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</si>
  <si>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</si>
  <si>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</si>
  <si>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</si>
  <si>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</si>
  <si>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</si>
  <si>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</si>
  <si>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</si>
  <si>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</si>
  <si>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</si>
  <si>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</si>
  <si>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ALEXANDRA CIFUENTES</t>
  </si>
  <si>
    <t>C:\Users\a.dasilva\Desktop\vendas\db\dbOrcamentos.mdb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</si>
</sst>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7">
    <xf numFmtId="0" fontId="0" fillId="0" borderId="0" xfId="0"/>
    <xf numFmtId="0" fontId="35" fillId="7" borderId="10" xfId="8" applyFont="1" applyFill="1" applyBorder="1" applyAlignment="1">
      <alignment horizontal="left" wrapText="1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9" fontId="34" fillId="7" borderId="34" xfId="12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44" fontId="43" fillId="7" borderId="8" xfId="4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17" fillId="9" borderId="12" xfId="8" applyFont="1" applyFill="1" applyBorder="1" applyAlignment="1">
      <alignment horizontal="center" vertical="center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ColLevel_1" xfId="1" builtinId="2" iLevel="0"/>
    <cellStyle name="Comma" xfId="13" builtinId="3"/>
    <cellStyle name="Currency" xfId="20" builtinId="4"/>
    <cellStyle name="Hiperlink 2" xfId="2"/>
    <cellStyle name="Hyperlink" xfId="3" builtinId="8"/>
    <cellStyle name="Moeda 2" xfId="4"/>
    <cellStyle name="Moeda 2 2" xfId="5"/>
    <cellStyle name="Moeda 3" xfId="6"/>
    <cellStyle name="Moeda_Pedido de Orçamento Roberto 2" xfId="7"/>
    <cellStyle name="Normal" xfId="0" builtinId="0"/>
    <cellStyle name="Normal 2" xfId="8"/>
    <cellStyle name="Normal 2 2" xfId="9"/>
    <cellStyle name="Normal 3" xfId="10"/>
    <cellStyle name="Normal 4" xfId="11"/>
    <cellStyle name="Percent" xfId="12" builtinId="5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8205" y="95250"/>
          <a:ext cx="478726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Orcamento">
    <tabColor indexed="13"/>
    <pageSetUpPr fitToPage="1"/>
  </sheetPr>
  <dimension ref="A1:IR1048509"/>
  <sheetViews>
    <sheetView tabSelected="1" zoomScale="50" zoomScaleNormal="50" zoomScaleSheetLayoutView="85" workbookViewId="0">
      <selection activeCell="C4" sqref="C4:E4"/>
    </sheetView>
  </sheetViews>
  <sheetFormatPr defaultColWidth="9.140625" defaultRowHeight="15.75" x14ac:dyDescent="0.3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8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8" bestFit="1" customWidth="1"/>
    <col min="30" max="30" width="22.140625" style="48" customWidth="1"/>
    <col min="31" max="31" width="12.85546875" style="48" customWidth="1"/>
    <col min="32" max="32" width="12.5703125" style="48" bestFit="1" customWidth="1"/>
    <col min="33" max="33" width="22.140625" style="48" bestFit="1" customWidth="1"/>
    <col min="34" max="34" width="12.85546875" style="48" customWidth="1"/>
    <col min="35" max="35" width="12.5703125" style="48" bestFit="1" customWidth="1"/>
    <col min="36" max="36" width="22.140625" style="48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 x14ac:dyDescent="0.3">
      <c r="A1" s="32" t="s">
        <v>1284</v>
      </c>
      <c r="B1" s="243" t="s">
        <v>1285</v>
      </c>
      <c r="C1" s="244"/>
      <c r="D1" s="244"/>
      <c r="E1" s="244"/>
      <c r="F1" s="244"/>
      <c r="G1" s="244"/>
      <c r="H1" s="244"/>
      <c r="I1" s="244"/>
      <c r="J1" s="245"/>
      <c r="K1" s="57"/>
      <c r="L1" s="246" t="s">
        <v>496</v>
      </c>
      <c r="M1" s="246"/>
      <c r="N1" s="246"/>
      <c r="O1" s="3"/>
      <c r="P1" s="222" t="s">
        <v>480</v>
      </c>
      <c r="Q1" s="222"/>
      <c r="S1" s="222" t="s">
        <v>450</v>
      </c>
      <c r="T1" s="222"/>
      <c r="V1" s="247" t="s">
        <v>500</v>
      </c>
      <c r="W1" s="247"/>
      <c r="X1" s="247"/>
      <c r="Y1" s="247"/>
      <c r="Z1" s="247"/>
      <c r="AB1" s="33"/>
      <c r="AC1" s="222" t="s">
        <v>933</v>
      </c>
      <c r="AD1" s="222"/>
      <c r="AE1" s="43"/>
      <c r="AF1" s="222" t="s">
        <v>934</v>
      </c>
      <c r="AG1" s="222"/>
      <c r="AH1" s="43"/>
      <c r="AI1" s="222" t="s">
        <v>935</v>
      </c>
      <c r="AJ1" s="222"/>
    </row>
    <row r="2" spans="1:36" s="2" customFormat="1" ht="21.75" thickBot="1" x14ac:dyDescent="0.4">
      <c r="A2" s="32"/>
      <c r="B2" s="223" t="s">
        <v>448</v>
      </c>
      <c r="C2" s="224"/>
      <c r="D2" s="224"/>
      <c r="E2" s="224"/>
      <c r="F2" s="224"/>
      <c r="G2" s="224"/>
      <c r="H2" s="224"/>
      <c r="I2" s="224"/>
      <c r="J2" s="225"/>
      <c r="K2" s="58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49"/>
      <c r="AF2" s="15" t="s">
        <v>936</v>
      </c>
      <c r="AG2" s="15" t="s">
        <v>937</v>
      </c>
      <c r="AH2" s="49"/>
      <c r="AI2" s="15" t="s">
        <v>936</v>
      </c>
      <c r="AJ2" s="15" t="s">
        <v>937</v>
      </c>
    </row>
    <row r="3" spans="1:36" s="5" customFormat="1" ht="56.25" customHeight="1" x14ac:dyDescent="0.3">
      <c r="A3" s="226" t="s">
        <v>461</v>
      </c>
      <c r="B3" s="168" t="s">
        <v>462</v>
      </c>
      <c r="C3" s="229"/>
      <c r="D3" s="230"/>
      <c r="E3" s="231"/>
      <c r="F3" s="146" t="s">
        <v>1048</v>
      </c>
      <c r="G3" s="232"/>
      <c r="H3" s="233"/>
      <c r="I3" s="4" t="s">
        <v>447</v>
      </c>
      <c r="J3" s="113"/>
      <c r="K3" s="57"/>
      <c r="L3" s="80"/>
      <c r="M3" s="60"/>
      <c r="N3" s="60"/>
      <c r="O3" s="3"/>
      <c r="P3" s="35"/>
      <c r="Q3" s="76"/>
      <c r="S3" s="35"/>
      <c r="T3" s="67"/>
      <c r="V3" s="69"/>
      <c r="W3" s="234"/>
      <c r="X3" s="235"/>
      <c r="Y3" s="235"/>
      <c r="Z3" s="236"/>
      <c r="AB3"/>
      <c r="AC3" s="51"/>
      <c r="AD3" s="51"/>
      <c r="AE3" s="50"/>
      <c r="AF3" s="51"/>
      <c r="AG3" s="51"/>
      <c r="AH3" s="50"/>
      <c r="AI3" s="51"/>
      <c r="AJ3" s="51"/>
    </row>
    <row r="4" spans="1:36" s="5" customFormat="1" ht="42" customHeight="1" x14ac:dyDescent="0.3">
      <c r="A4" s="227"/>
      <c r="B4" s="6" t="s">
        <v>449</v>
      </c>
      <c r="C4" s="237"/>
      <c r="D4" s="238"/>
      <c r="E4" s="239"/>
      <c r="F4" s="146" t="s">
        <v>969</v>
      </c>
      <c r="G4" s="232"/>
      <c r="H4" s="233"/>
      <c r="I4" s="240" t="s">
        <v>904</v>
      </c>
      <c r="J4" s="197">
        <v>0</v>
      </c>
      <c r="K4" s="57" t="e">
        <f>IF(VALUE(J4)-SUMIF(C12:J12,"X",#REF!)&gt;0,"OK","N.OK")</f>
        <v>#REF!</v>
      </c>
      <c r="L4" s="80"/>
      <c r="M4" s="60"/>
      <c r="N4" s="61"/>
      <c r="O4" s="3"/>
      <c r="P4" s="35"/>
      <c r="Q4" s="76"/>
      <c r="S4" s="35"/>
      <c r="T4" s="67"/>
      <c r="V4" s="25"/>
      <c r="W4" s="26"/>
      <c r="X4" s="26"/>
      <c r="Y4" s="26"/>
      <c r="Z4" s="26"/>
      <c r="AC4" s="51"/>
      <c r="AD4" s="51"/>
      <c r="AE4" s="50"/>
      <c r="AF4" s="51"/>
      <c r="AG4" s="51"/>
      <c r="AH4" s="50"/>
      <c r="AI4" s="51"/>
      <c r="AJ4" s="51"/>
    </row>
    <row r="5" spans="1:36" s="5" customFormat="1" ht="33.75" customHeight="1" x14ac:dyDescent="0.3">
      <c r="A5" s="227"/>
      <c r="B5" s="168" t="s">
        <v>463</v>
      </c>
      <c r="C5" s="198"/>
      <c r="D5" s="199"/>
      <c r="E5" s="199"/>
      <c r="F5" s="199"/>
      <c r="G5" s="199"/>
      <c r="H5" s="200"/>
      <c r="I5" s="241"/>
      <c r="J5" s="197"/>
      <c r="K5" s="57"/>
      <c r="L5" s="80"/>
      <c r="M5" s="61"/>
      <c r="N5" s="61"/>
      <c r="O5" s="3"/>
      <c r="P5" s="35"/>
      <c r="Q5" s="76"/>
      <c r="T5" s="68"/>
      <c r="AC5" s="51"/>
      <c r="AD5" s="51"/>
      <c r="AE5" s="50"/>
      <c r="AF5" s="51"/>
      <c r="AG5" s="51"/>
      <c r="AH5" s="50"/>
      <c r="AI5" s="51"/>
      <c r="AJ5" s="51"/>
    </row>
    <row r="6" spans="1:36" s="5" customFormat="1" ht="25.5" customHeight="1" x14ac:dyDescent="0.3">
      <c r="A6" s="227"/>
      <c r="B6" s="201" t="s">
        <v>464</v>
      </c>
      <c r="C6" s="202"/>
      <c r="D6" s="203"/>
      <c r="E6" s="203"/>
      <c r="F6" s="203"/>
      <c r="G6" s="203"/>
      <c r="H6" s="204"/>
      <c r="I6" s="241"/>
      <c r="J6" s="197"/>
      <c r="K6" s="57"/>
      <c r="L6" s="80"/>
      <c r="M6" s="62"/>
      <c r="N6" s="62"/>
      <c r="O6" s="3"/>
      <c r="P6" s="35"/>
      <c r="Q6" s="76"/>
      <c r="T6" s="68"/>
      <c r="AC6" s="51"/>
      <c r="AD6" s="51"/>
      <c r="AE6" s="50"/>
      <c r="AF6" s="51"/>
      <c r="AG6" s="51"/>
      <c r="AH6" s="50"/>
      <c r="AI6" s="51"/>
      <c r="AJ6" s="51"/>
    </row>
    <row r="7" spans="1:36" s="5" customFormat="1" ht="25.5" customHeight="1" x14ac:dyDescent="0.3">
      <c r="A7" s="227"/>
      <c r="B7" s="201"/>
      <c r="C7" s="205"/>
      <c r="D7" s="206"/>
      <c r="E7" s="206"/>
      <c r="F7" s="206"/>
      <c r="G7" s="206"/>
      <c r="H7" s="207"/>
      <c r="I7" s="242"/>
      <c r="J7" s="197"/>
      <c r="K7" s="57"/>
      <c r="L7" s="80"/>
      <c r="M7" s="63"/>
      <c r="N7" s="61"/>
      <c r="O7" s="3"/>
      <c r="P7" s="35"/>
      <c r="Q7" s="77"/>
      <c r="T7" s="68"/>
      <c r="AC7" s="51"/>
      <c r="AD7" s="51"/>
      <c r="AE7" s="50"/>
      <c r="AF7" s="51"/>
      <c r="AG7" s="51"/>
      <c r="AH7" s="50"/>
      <c r="AI7" s="51"/>
      <c r="AJ7" s="51"/>
    </row>
    <row r="8" spans="1:36" s="5" customFormat="1" ht="25.5" customHeight="1" x14ac:dyDescent="0.3">
      <c r="A8" s="227"/>
      <c r="B8" s="6" t="s">
        <v>465</v>
      </c>
      <c r="C8" s="208"/>
      <c r="D8" s="208"/>
      <c r="E8" s="208"/>
      <c r="F8" s="208"/>
      <c r="G8" s="208"/>
      <c r="H8" s="208"/>
      <c r="I8" s="208"/>
      <c r="J8" s="209"/>
      <c r="K8" s="57"/>
      <c r="L8" s="80"/>
      <c r="M8" s="64"/>
      <c r="N8" s="61"/>
      <c r="O8" s="3"/>
      <c r="P8" s="35"/>
      <c r="Q8" s="77"/>
      <c r="T8" s="68"/>
      <c r="AC8" s="51"/>
      <c r="AD8" s="51"/>
      <c r="AE8" s="50"/>
      <c r="AF8" s="51"/>
      <c r="AG8" s="51"/>
      <c r="AH8" s="50"/>
      <c r="AI8" s="51"/>
      <c r="AJ8" s="51"/>
    </row>
    <row r="9" spans="1:36" s="5" customFormat="1" ht="25.5" customHeight="1" x14ac:dyDescent="0.3">
      <c r="A9" s="227"/>
      <c r="B9" s="6" t="s">
        <v>466</v>
      </c>
      <c r="C9" s="208"/>
      <c r="D9" s="208"/>
      <c r="E9" s="208"/>
      <c r="F9" s="208"/>
      <c r="G9" s="208"/>
      <c r="H9" s="208"/>
      <c r="I9" s="208"/>
      <c r="J9" s="209"/>
      <c r="K9" s="57"/>
      <c r="L9" s="80"/>
      <c r="M9" s="64"/>
      <c r="N9" s="61"/>
      <c r="O9" s="14"/>
      <c r="P9" s="14"/>
      <c r="Q9" s="66"/>
      <c r="T9" s="68"/>
      <c r="AC9" s="51"/>
      <c r="AD9" s="51"/>
      <c r="AE9" s="50"/>
      <c r="AF9" s="51"/>
      <c r="AG9" s="51"/>
      <c r="AH9" s="50"/>
      <c r="AI9" s="51"/>
      <c r="AJ9" s="51"/>
    </row>
    <row r="10" spans="1:36" s="5" customFormat="1" ht="25.5" customHeight="1" x14ac:dyDescent="0.3">
      <c r="A10" s="227"/>
      <c r="B10" s="168" t="s">
        <v>901</v>
      </c>
      <c r="C10" s="210"/>
      <c r="D10" s="211"/>
      <c r="E10" s="211"/>
      <c r="F10" s="211"/>
      <c r="G10" s="211"/>
      <c r="H10" s="211"/>
      <c r="I10" s="211"/>
      <c r="J10" s="212"/>
      <c r="K10" s="57"/>
      <c r="L10" s="80"/>
      <c r="M10" s="64"/>
      <c r="N10" s="61"/>
      <c r="O10" s="14"/>
      <c r="P10" s="14"/>
      <c r="AC10" s="51"/>
      <c r="AD10" s="51"/>
      <c r="AE10" s="50"/>
      <c r="AF10" s="51"/>
      <c r="AG10" s="51"/>
      <c r="AH10" s="50"/>
      <c r="AI10" s="51"/>
      <c r="AJ10" s="51"/>
    </row>
    <row r="11" spans="1:36" s="5" customFormat="1" ht="25.5" customHeight="1" x14ac:dyDescent="0.3">
      <c r="A11" s="227"/>
      <c r="B11" s="213" t="s">
        <v>467</v>
      </c>
      <c r="C11" s="214"/>
      <c r="D11" s="214"/>
      <c r="E11" s="214"/>
      <c r="F11" s="214"/>
      <c r="G11" s="214"/>
      <c r="H11" s="214"/>
      <c r="I11" s="214"/>
      <c r="J11" s="215"/>
      <c r="K11" s="57"/>
      <c r="L11" s="80"/>
      <c r="M11" s="63"/>
      <c r="N11" s="63"/>
      <c r="O11" s="14"/>
      <c r="P11" s="14"/>
      <c r="AC11" s="51"/>
      <c r="AD11" s="51"/>
      <c r="AE11" s="50"/>
      <c r="AF11" s="51"/>
      <c r="AG11" s="51"/>
      <c r="AH11" s="50"/>
      <c r="AI11" s="51"/>
      <c r="AJ11" s="51"/>
    </row>
    <row r="12" spans="1:36" s="7" customFormat="1" ht="25.5" customHeight="1" x14ac:dyDescent="0.3">
      <c r="A12" s="227"/>
      <c r="B12" s="168" t="s">
        <v>942</v>
      </c>
      <c r="C12" s="178"/>
      <c r="D12" s="178"/>
      <c r="E12" s="178"/>
      <c r="F12" s="179"/>
      <c r="G12" s="179"/>
      <c r="H12" s="179"/>
      <c r="I12" s="179"/>
      <c r="J12" s="179"/>
      <c r="K12" s="57" t="str">
        <f>IF(COUNTIF(C12:J12,"X")&gt;0,"OK","N.OK")</f>
        <v>N.OK</v>
      </c>
      <c r="L12" s="80"/>
      <c r="M12" s="63"/>
      <c r="N12" s="63"/>
      <c r="O12" s="14"/>
      <c r="P12" s="14"/>
      <c r="AC12" s="51"/>
      <c r="AD12" s="51"/>
      <c r="AE12" s="50"/>
      <c r="AF12" s="51"/>
      <c r="AG12" s="51"/>
      <c r="AH12" s="50"/>
      <c r="AI12" s="51"/>
      <c r="AJ12" s="51"/>
    </row>
    <row r="13" spans="1:36" s="7" customFormat="1" ht="31.5" customHeight="1" x14ac:dyDescent="0.3">
      <c r="A13" s="227"/>
      <c r="B13" s="78" t="s">
        <v>903</v>
      </c>
      <c r="C13" s="171"/>
      <c r="D13" s="171"/>
      <c r="E13" s="171"/>
      <c r="F13" s="171"/>
      <c r="G13" s="149"/>
      <c r="H13" s="149"/>
      <c r="I13" s="149"/>
      <c r="J13" s="149"/>
      <c r="K13" s="57"/>
      <c r="L13" s="80"/>
      <c r="M13" s="63"/>
      <c r="N13" s="63"/>
      <c r="O13" s="14"/>
      <c r="P13" s="14"/>
      <c r="AC13" s="51"/>
      <c r="AD13" s="51"/>
      <c r="AE13" s="50"/>
      <c r="AF13" s="51"/>
      <c r="AG13" s="51"/>
      <c r="AH13" s="50"/>
      <c r="AI13" s="51"/>
      <c r="AJ13" s="51"/>
    </row>
    <row r="14" spans="1:36" s="7" customFormat="1" ht="25.5" customHeight="1" x14ac:dyDescent="0.3">
      <c r="A14" s="227"/>
      <c r="B14" s="168" t="s">
        <v>954</v>
      </c>
      <c r="C14" s="172"/>
      <c r="D14" s="172"/>
      <c r="E14" s="172"/>
      <c r="F14" s="173"/>
      <c r="G14" s="150"/>
      <c r="H14" s="150"/>
      <c r="I14" s="150"/>
      <c r="J14" s="150"/>
      <c r="K14" s="57"/>
      <c r="L14" s="80"/>
      <c r="M14" s="63"/>
      <c r="N14" s="63"/>
      <c r="O14" s="14"/>
      <c r="P14" s="14"/>
      <c r="AC14" s="51"/>
      <c r="AD14" s="51"/>
      <c r="AE14" s="50"/>
      <c r="AF14" s="51"/>
      <c r="AG14" s="51"/>
      <c r="AH14" s="50"/>
      <c r="AI14" s="51"/>
      <c r="AJ14" s="51"/>
    </row>
    <row r="15" spans="1:36" s="5" customFormat="1" ht="25.5" customHeight="1" x14ac:dyDescent="0.3">
      <c r="A15" s="227"/>
      <c r="B15" s="79" t="s">
        <v>469</v>
      </c>
      <c r="C15" s="169"/>
      <c r="D15" s="170"/>
      <c r="E15" s="170"/>
      <c r="F15" s="170"/>
      <c r="G15" s="169"/>
      <c r="H15" s="169"/>
      <c r="I15" s="169"/>
      <c r="J15" s="169"/>
      <c r="K15" s="57"/>
      <c r="L15" s="80"/>
      <c r="M15" s="60"/>
      <c r="N15" s="61"/>
      <c r="O15" s="14"/>
      <c r="P15" s="14"/>
      <c r="AC15" s="51"/>
      <c r="AD15" s="51"/>
      <c r="AE15" s="50"/>
      <c r="AF15" s="51"/>
      <c r="AG15" s="51"/>
      <c r="AH15" s="50"/>
      <c r="AI15" s="51"/>
      <c r="AJ15" s="51"/>
    </row>
    <row r="16" spans="1:36" s="5" customFormat="1" ht="25.5" customHeight="1" x14ac:dyDescent="0.3">
      <c r="A16" s="227"/>
      <c r="B16" s="85" t="s">
        <v>458</v>
      </c>
      <c r="C16" s="151" t="str">
        <f>IF(C$15&lt;&gt;"",(VLOOKUP(C$15,$S$3:$T$4,2,FALSE))*100%,"")</f>
        <v/>
      </c>
      <c r="D16" s="151" t="str">
        <f>IF(D$15&lt;&gt;"",(VLOOKUP(D$15,$S$3:$T$4,2,FALSE))*100%,"")</f>
        <v/>
      </c>
      <c r="E16" s="151" t="str">
        <f t="shared" ref="E16:J16" si="0">IF(E$15&lt;&gt;"",(VLOOKUP(E$15,$S$3:$T$4,2,FALSE))*100%,"")</f>
        <v/>
      </c>
      <c r="F16" s="151" t="str">
        <f t="shared" si="0"/>
        <v/>
      </c>
      <c r="G16" s="151" t="str">
        <f t="shared" si="0"/>
        <v/>
      </c>
      <c r="H16" s="151" t="str">
        <f t="shared" si="0"/>
        <v/>
      </c>
      <c r="I16" s="151" t="str">
        <f t="shared" si="0"/>
        <v/>
      </c>
      <c r="J16" s="151" t="str">
        <f t="shared" si="0"/>
        <v/>
      </c>
      <c r="K16" s="57"/>
      <c r="L16" s="80"/>
      <c r="M16" s="62"/>
      <c r="N16" s="62"/>
      <c r="O16" s="14"/>
      <c r="P16" s="14"/>
      <c r="AC16" s="52"/>
      <c r="AD16" s="52"/>
      <c r="AE16" s="44"/>
      <c r="AF16" s="52"/>
      <c r="AG16" s="52"/>
      <c r="AH16" s="44"/>
      <c r="AI16" s="52"/>
      <c r="AJ16" s="52"/>
    </row>
    <row r="17" spans="1:230" s="5" customFormat="1" ht="25.5" customHeight="1" thickBot="1" x14ac:dyDescent="0.35">
      <c r="A17" s="227"/>
      <c r="B17" s="6" t="s">
        <v>471</v>
      </c>
      <c r="C17" s="184"/>
      <c r="D17" s="184"/>
      <c r="E17" s="184"/>
      <c r="F17" s="184"/>
      <c r="G17" s="184"/>
      <c r="H17" s="184"/>
      <c r="I17" s="184"/>
      <c r="J17" s="184"/>
      <c r="K17" s="57"/>
      <c r="L17" s="80"/>
      <c r="M17" s="65"/>
      <c r="N17" s="63"/>
      <c r="O17" s="14"/>
      <c r="P17" s="14"/>
      <c r="AC17" s="44"/>
      <c r="AD17" s="44"/>
      <c r="AE17" s="44"/>
      <c r="AF17" s="44"/>
      <c r="AG17" s="44"/>
      <c r="AH17" s="44"/>
      <c r="AI17" s="44"/>
      <c r="AJ17" s="44"/>
    </row>
    <row r="18" spans="1:230" s="5" customFormat="1" ht="25.5" customHeight="1" thickBot="1" x14ac:dyDescent="0.35">
      <c r="A18" s="227"/>
      <c r="B18" s="83" t="s">
        <v>473</v>
      </c>
      <c r="C18" s="185"/>
      <c r="D18" s="185"/>
      <c r="E18" s="185"/>
      <c r="F18" s="185"/>
      <c r="G18" s="185"/>
      <c r="H18" s="185"/>
      <c r="I18" s="185"/>
      <c r="J18" s="185"/>
      <c r="K18" s="57"/>
      <c r="L18" s="80"/>
      <c r="M18" s="62"/>
      <c r="N18" s="62"/>
      <c r="O18" s="14"/>
      <c r="P18" s="14"/>
      <c r="AC18" s="45"/>
      <c r="AD18" s="45"/>
      <c r="AE18" s="45"/>
      <c r="AF18" s="45"/>
      <c r="AG18" s="45"/>
      <c r="AH18" s="45"/>
      <c r="AI18" s="45"/>
      <c r="AJ18" s="45"/>
    </row>
    <row r="19" spans="1:230" s="30" customFormat="1" ht="30.75" customHeight="1" x14ac:dyDescent="0.3">
      <c r="A19" s="227"/>
      <c r="B19" s="29" t="s">
        <v>474</v>
      </c>
      <c r="C19" s="186"/>
      <c r="D19" s="186"/>
      <c r="E19" s="186"/>
      <c r="F19" s="186"/>
      <c r="G19" s="186"/>
      <c r="H19" s="186"/>
      <c r="I19" s="186"/>
      <c r="J19" s="186"/>
      <c r="K19" s="59"/>
      <c r="L19" s="81"/>
      <c r="M19" s="96"/>
      <c r="N19" s="96"/>
      <c r="O19" s="31"/>
      <c r="P19" s="31"/>
      <c r="AC19" s="44"/>
      <c r="AD19" s="44"/>
      <c r="AE19" s="44"/>
      <c r="AF19" s="44"/>
      <c r="AG19" s="44"/>
      <c r="AH19" s="44"/>
      <c r="AI19" s="44"/>
      <c r="AJ19" s="44"/>
    </row>
    <row r="20" spans="1:230" s="5" customFormat="1" ht="25.5" customHeight="1" x14ac:dyDescent="0.3">
      <c r="A20" s="227"/>
      <c r="B20" s="6" t="s">
        <v>475</v>
      </c>
      <c r="C20" s="174"/>
      <c r="D20" s="174"/>
      <c r="E20" s="174"/>
      <c r="F20" s="174"/>
      <c r="G20" s="174"/>
      <c r="H20" s="174"/>
      <c r="I20" s="174"/>
      <c r="J20" s="174"/>
      <c r="K20" s="57"/>
      <c r="L20" s="81"/>
      <c r="M20" s="65"/>
      <c r="N20" s="65"/>
      <c r="O20" s="14"/>
      <c r="P20" s="14"/>
      <c r="AC20" s="44"/>
      <c r="AD20" s="44"/>
      <c r="AE20" s="44"/>
      <c r="AF20" s="44"/>
      <c r="AG20" s="44"/>
      <c r="AH20" s="44"/>
      <c r="AI20" s="44"/>
      <c r="AJ20" s="44"/>
    </row>
    <row r="21" spans="1:230" s="5" customFormat="1" ht="25.5" customHeight="1" x14ac:dyDescent="0.3">
      <c r="A21" s="227"/>
      <c r="B21" s="168" t="s">
        <v>476</v>
      </c>
      <c r="C21" s="175"/>
      <c r="D21" s="175"/>
      <c r="E21" s="175"/>
      <c r="F21" s="175"/>
      <c r="G21" s="175"/>
      <c r="H21" s="175"/>
      <c r="I21" s="175"/>
      <c r="J21" s="175"/>
      <c r="K21" s="57"/>
      <c r="L21" s="80"/>
      <c r="M21" s="65"/>
      <c r="N21" s="65"/>
      <c r="O21" s="14"/>
      <c r="P21" s="14"/>
      <c r="AC21" s="44"/>
      <c r="AD21" s="44"/>
      <c r="AE21" s="44"/>
      <c r="AF21" s="44"/>
      <c r="AG21" s="44"/>
      <c r="AH21" s="44"/>
      <c r="AI21" s="44"/>
      <c r="AJ21" s="44"/>
    </row>
    <row r="22" spans="1:230" s="5" customFormat="1" ht="25.5" customHeight="1" x14ac:dyDescent="0.3">
      <c r="A22" s="227"/>
      <c r="B22" s="168" t="s">
        <v>477</v>
      </c>
      <c r="C22" s="176"/>
      <c r="D22" s="176"/>
      <c r="E22" s="176"/>
      <c r="F22" s="176"/>
      <c r="G22" s="176"/>
      <c r="H22" s="176"/>
      <c r="I22" s="176"/>
      <c r="J22" s="176"/>
      <c r="K22" s="57"/>
      <c r="L22" s="80"/>
      <c r="M22" s="65"/>
      <c r="N22" s="65"/>
      <c r="O22" s="14"/>
      <c r="P22" s="14"/>
      <c r="AC22" s="44"/>
      <c r="AD22" s="44"/>
      <c r="AE22" s="44"/>
      <c r="AF22" s="44"/>
      <c r="AG22" s="44"/>
      <c r="AH22" s="44"/>
      <c r="AI22" s="44"/>
      <c r="AJ22" s="44"/>
    </row>
    <row r="23" spans="1:230" s="5" customFormat="1" ht="25.5" customHeight="1" x14ac:dyDescent="0.3">
      <c r="A23" s="227"/>
      <c r="B23" s="168" t="s">
        <v>478</v>
      </c>
      <c r="C23" s="176"/>
      <c r="D23" s="176"/>
      <c r="E23" s="172"/>
      <c r="F23" s="172"/>
      <c r="G23" s="172"/>
      <c r="H23" s="172"/>
      <c r="I23" s="172"/>
      <c r="J23" s="172"/>
      <c r="K23" s="57"/>
      <c r="L23" s="80"/>
      <c r="M23" s="65"/>
      <c r="N23" s="65"/>
      <c r="O23" s="14"/>
      <c r="P23" s="14"/>
      <c r="AC23" s="46"/>
      <c r="AD23" s="46"/>
      <c r="AE23" s="46"/>
      <c r="AF23" s="46"/>
      <c r="AG23" s="46"/>
      <c r="AH23" s="46"/>
      <c r="AI23" s="46"/>
      <c r="AJ23" s="46"/>
    </row>
    <row r="24" spans="1:230" s="8" customFormat="1" ht="25.5" customHeight="1" x14ac:dyDescent="0.45">
      <c r="A24" s="227"/>
      <c r="B24" s="216" t="s">
        <v>479</v>
      </c>
      <c r="C24" s="217"/>
      <c r="D24" s="217"/>
      <c r="E24" s="217"/>
      <c r="F24" s="217"/>
      <c r="G24" s="217"/>
      <c r="H24" s="217"/>
      <c r="I24" s="217"/>
      <c r="J24" s="218"/>
      <c r="K24" s="57"/>
      <c r="L24" s="80"/>
      <c r="M24" s="65"/>
      <c r="N24" s="65"/>
      <c r="O24" s="14"/>
      <c r="P24" s="14"/>
      <c r="AC24" s="47"/>
      <c r="AD24" s="47"/>
      <c r="AE24" s="47"/>
      <c r="AF24" s="47"/>
      <c r="AG24" s="47"/>
      <c r="AH24" s="47"/>
      <c r="AI24" s="47"/>
      <c r="AJ24" s="47"/>
    </row>
    <row r="25" spans="1:230" s="8" customFormat="1" ht="25.5" customHeight="1" x14ac:dyDescent="0.45">
      <c r="A25" s="227"/>
      <c r="B25" s="9" t="s">
        <v>938</v>
      </c>
      <c r="C25" s="180"/>
      <c r="D25" s="180"/>
      <c r="E25" s="180"/>
      <c r="F25" s="180"/>
      <c r="G25" s="152"/>
      <c r="H25" s="152"/>
      <c r="I25" s="152"/>
      <c r="J25" s="152"/>
      <c r="K25" s="57"/>
      <c r="L25" s="80"/>
      <c r="M25" s="65"/>
      <c r="N25" s="65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7"/>
      <c r="AD25" s="47"/>
      <c r="AE25" s="47"/>
      <c r="AF25" s="47"/>
      <c r="AG25" s="47"/>
      <c r="AH25" s="47"/>
      <c r="AI25" s="47"/>
      <c r="AJ25" s="47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 x14ac:dyDescent="0.45">
      <c r="A26" s="227"/>
      <c r="B26" s="9" t="s">
        <v>939</v>
      </c>
      <c r="C26" s="180"/>
      <c r="D26" s="180"/>
      <c r="E26" s="180"/>
      <c r="F26" s="180"/>
      <c r="G26" s="152"/>
      <c r="H26" s="152"/>
      <c r="I26" s="152"/>
      <c r="J26" s="152"/>
      <c r="K26" s="57"/>
      <c r="L26" s="81"/>
      <c r="M26" s="96"/>
      <c r="N26" s="96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7"/>
      <c r="AD26" s="47"/>
      <c r="AE26" s="47"/>
      <c r="AF26" s="47"/>
      <c r="AG26" s="47"/>
      <c r="AH26" s="47"/>
      <c r="AI26" s="47"/>
      <c r="AJ26" s="47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 x14ac:dyDescent="0.45">
      <c r="A27" s="227"/>
      <c r="B27" s="9" t="s">
        <v>940</v>
      </c>
      <c r="C27" s="181"/>
      <c r="D27" s="181"/>
      <c r="E27" s="181"/>
      <c r="F27" s="181"/>
      <c r="G27" s="166"/>
      <c r="H27" s="166"/>
      <c r="I27" s="166"/>
      <c r="J27" s="166"/>
      <c r="K27" s="57"/>
      <c r="L27" s="80"/>
      <c r="M27" s="65"/>
      <c r="N27" s="65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7"/>
      <c r="AD27" s="47"/>
      <c r="AE27" s="47"/>
      <c r="AF27" s="47"/>
      <c r="AG27" s="47"/>
      <c r="AH27" s="47"/>
      <c r="AI27" s="47"/>
      <c r="AJ27" s="47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 x14ac:dyDescent="0.45">
      <c r="A28" s="227"/>
      <c r="B28" s="9" t="s">
        <v>941</v>
      </c>
      <c r="C28" s="181"/>
      <c r="D28" s="181"/>
      <c r="E28" s="181"/>
      <c r="F28" s="181"/>
      <c r="G28" s="166"/>
      <c r="H28" s="166"/>
      <c r="I28" s="166"/>
      <c r="J28" s="166"/>
      <c r="K28" s="57"/>
      <c r="L28" s="80"/>
      <c r="M28" s="65"/>
      <c r="N28" s="65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7"/>
      <c r="AD28" s="47"/>
      <c r="AE28" s="47"/>
      <c r="AF28" s="47"/>
      <c r="AG28" s="47"/>
      <c r="AH28" s="47"/>
      <c r="AI28" s="47"/>
      <c r="AJ28" s="47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 x14ac:dyDescent="0.45">
      <c r="A29" s="227"/>
      <c r="B29" s="9" t="s">
        <v>481</v>
      </c>
      <c r="C29" s="181"/>
      <c r="D29" s="181"/>
      <c r="E29" s="181"/>
      <c r="F29" s="181"/>
      <c r="G29" s="166"/>
      <c r="H29" s="166"/>
      <c r="I29" s="166"/>
      <c r="J29" s="166"/>
      <c r="K29" s="57"/>
      <c r="L29" s="80"/>
      <c r="M29" s="65"/>
      <c r="N29" s="65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7"/>
      <c r="AD29" s="47"/>
      <c r="AE29" s="47"/>
      <c r="AF29" s="47"/>
      <c r="AG29" s="47"/>
      <c r="AH29" s="47"/>
      <c r="AI29" s="47"/>
      <c r="AJ29" s="47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 x14ac:dyDescent="0.45">
      <c r="A30" s="227"/>
      <c r="B30" s="216" t="s">
        <v>482</v>
      </c>
      <c r="C30" s="217"/>
      <c r="D30" s="217"/>
      <c r="E30" s="217"/>
      <c r="F30" s="217"/>
      <c r="G30" s="217"/>
      <c r="H30" s="217"/>
      <c r="I30" s="217"/>
      <c r="J30" s="218"/>
      <c r="K30" s="57"/>
      <c r="L30" s="80"/>
      <c r="M30" s="65"/>
      <c r="N30" s="65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7"/>
      <c r="AD30" s="47"/>
      <c r="AE30" s="47"/>
      <c r="AF30" s="47"/>
      <c r="AG30" s="47"/>
      <c r="AH30" s="47"/>
      <c r="AI30" s="47"/>
      <c r="AJ30" s="47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 x14ac:dyDescent="0.45">
      <c r="A31" s="227"/>
      <c r="B31" s="219"/>
      <c r="C31" s="220"/>
      <c r="D31" s="220"/>
      <c r="E31" s="220"/>
      <c r="F31" s="220"/>
      <c r="G31" s="220"/>
      <c r="H31" s="220"/>
      <c r="I31" s="220"/>
      <c r="J31" s="221"/>
      <c r="K31" s="57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7"/>
      <c r="AD31" s="47"/>
      <c r="AE31" s="47"/>
      <c r="AF31" s="47"/>
      <c r="AG31" s="47"/>
      <c r="AH31" s="47"/>
      <c r="AI31" s="47"/>
      <c r="AJ31" s="47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 x14ac:dyDescent="0.45">
      <c r="A32" s="227"/>
      <c r="B32" s="1"/>
      <c r="C32" s="187"/>
      <c r="D32" s="187"/>
      <c r="E32" s="187"/>
      <c r="F32" s="187"/>
      <c r="G32" s="187"/>
      <c r="H32" s="187"/>
      <c r="I32" s="187"/>
      <c r="J32" s="188"/>
      <c r="K32" s="57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7"/>
      <c r="AD32" s="47"/>
      <c r="AE32" s="47"/>
      <c r="AF32" s="47"/>
      <c r="AG32" s="47"/>
      <c r="AH32" s="47"/>
      <c r="AI32" s="47"/>
      <c r="AJ32" s="47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 x14ac:dyDescent="0.45">
      <c r="A33" s="227"/>
      <c r="B33" s="1"/>
      <c r="C33" s="187"/>
      <c r="D33" s="187"/>
      <c r="E33" s="187"/>
      <c r="F33" s="187"/>
      <c r="G33" s="187"/>
      <c r="H33" s="187"/>
      <c r="I33" s="187"/>
      <c r="J33" s="188"/>
      <c r="K33" s="57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7"/>
      <c r="AD33" s="47"/>
      <c r="AE33" s="47"/>
      <c r="AF33" s="47"/>
      <c r="AG33" s="47"/>
      <c r="AH33" s="47"/>
      <c r="AI33" s="47"/>
      <c r="AJ33" s="47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 x14ac:dyDescent="0.5">
      <c r="A34" s="228"/>
      <c r="B34" s="1"/>
      <c r="C34" s="189"/>
      <c r="D34" s="189"/>
      <c r="E34" s="189"/>
      <c r="F34" s="189"/>
      <c r="G34" s="189"/>
      <c r="H34" s="189"/>
      <c r="I34" s="189"/>
      <c r="J34" s="190"/>
      <c r="K34" s="57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4"/>
      <c r="AD34" s="44"/>
      <c r="AE34" s="44"/>
      <c r="AF34" s="44"/>
      <c r="AG34" s="44"/>
      <c r="AH34" s="44"/>
      <c r="AI34" s="44"/>
      <c r="AJ34" s="44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 x14ac:dyDescent="0.35">
      <c r="A35" s="191" t="s">
        <v>483</v>
      </c>
      <c r="B35" s="84" t="s">
        <v>473</v>
      </c>
      <c r="C35" s="153">
        <f t="shared" ref="C35:J35" si="1">C18</f>
        <v>0</v>
      </c>
      <c r="D35" s="153">
        <f t="shared" si="1"/>
        <v>0</v>
      </c>
      <c r="E35" s="153">
        <f t="shared" si="1"/>
        <v>0</v>
      </c>
      <c r="F35" s="153">
        <f t="shared" si="1"/>
        <v>0</v>
      </c>
      <c r="G35" s="153">
        <f t="shared" si="1"/>
        <v>0</v>
      </c>
      <c r="H35" s="153">
        <f t="shared" si="1"/>
        <v>0</v>
      </c>
      <c r="I35" s="153">
        <f t="shared" si="1"/>
        <v>0</v>
      </c>
      <c r="J35" s="153">
        <f t="shared" si="1"/>
        <v>0</v>
      </c>
      <c r="K35" s="57"/>
      <c r="AC35" s="44"/>
      <c r="AD35" s="44"/>
      <c r="AE35" s="44"/>
      <c r="AF35" s="44"/>
      <c r="AG35" s="44"/>
      <c r="AH35" s="44"/>
      <c r="AI35" s="44"/>
      <c r="AJ35" s="44"/>
    </row>
    <row r="36" spans="1:230" s="5" customFormat="1" ht="25.5" customHeight="1" thickTop="1" x14ac:dyDescent="0.3">
      <c r="A36" s="192"/>
      <c r="B36" s="82" t="s">
        <v>484</v>
      </c>
      <c r="C36" s="154">
        <f>IF(ROYALTY_ESPECIE_01&lt;&gt;0,ROYALTY_ESPECIE_01*VLOOKUP(Moeda_01,$P$3:$Q$8,2,FALSE),ROYALTY_PERCENTUAL_01*PrecoMKT_01)</f>
        <v>0</v>
      </c>
      <c r="D36" s="154">
        <f>IF(ROYALTY_ESPECIE_02&lt;&gt;0,ROYALTY_ESPECIE_02*VLOOKUP(Moeda_02,$P$3:$Q$8,2,FALSE),ROYALTY_PERCENTUAL_02*PrecoMKT_02)</f>
        <v>0</v>
      </c>
      <c r="E36" s="154">
        <f>IF(ROYALTY_ESPECIE_03&lt;&gt;0,ROYALTY_ESPECIE_03*VLOOKUP(Moeda_03,$P$3:$Q$8,2,FALSE),ROYALTY_PERCENTUAL_03*PrecoMKT_03)</f>
        <v>0</v>
      </c>
      <c r="F36" s="154">
        <f>IF(ROYALTY_ESPECIE_04&lt;&gt;0,ROYALTY_ESPECIE_04*VLOOKUP(Moeda_04,$P$3:$Q$8,2,FALSE),ROYALTY_PERCENTUAL_04*PrecoMKT_04)</f>
        <v>0</v>
      </c>
      <c r="G36" s="154">
        <f>IF(ROYALTY_ESPECIE_05&lt;&gt;0,ROYALTY_ESPECIE_05*VLOOKUP(Moeda_05,$P$3:$Q$8,2,FALSE),ROYALTY_PERCENTUAL_05*PrecoMKT_05)</f>
        <v>0</v>
      </c>
      <c r="H36" s="154">
        <f>IF(ROYALTY_ESPECIE_06&lt;&gt;0,ROYALTY_ESPECIE_06*VLOOKUP(Moeda_06,$P$3:$Q$8,2,FALSE),ROYALTY_PERCENTUAL_06*PrecoMKT_06)</f>
        <v>0</v>
      </c>
      <c r="I36" s="154">
        <f>IF(ROYALTY_ESPECIE_07&lt;&gt;0,ROYALTY_ESPECIE_07*VLOOKUP(Moeda_07,$P$3:$Q$8,2,FALSE),ROYALTY_PERCENTUAL_07*PrecoMKT_07)</f>
        <v>0</v>
      </c>
      <c r="J36" s="154">
        <f>IF(ROYALTY_ESPECIE_08&lt;&gt;0,ROYALTY_ESPECIE_08*VLOOKUP(Moeda_08,$P$3:$Q$8,2,FALSE),ROYALTY_PERCENTUAL_08*PrecoMKT_08)</f>
        <v>0</v>
      </c>
      <c r="K36" s="57"/>
      <c r="AC36" s="44"/>
      <c r="AD36" s="44"/>
      <c r="AE36" s="44"/>
      <c r="AF36" s="44"/>
      <c r="AG36" s="44"/>
      <c r="AH36" s="44"/>
      <c r="AI36" s="44"/>
      <c r="AJ36" s="44"/>
    </row>
    <row r="37" spans="1:230" s="5" customFormat="1" ht="25.5" customHeight="1" x14ac:dyDescent="0.3">
      <c r="A37" s="192"/>
      <c r="B37" s="10" t="s">
        <v>485</v>
      </c>
      <c r="C37" s="155" t="s">
        <v>902</v>
      </c>
      <c r="D37" s="155" t="s">
        <v>902</v>
      </c>
      <c r="E37" s="155" t="s">
        <v>902</v>
      </c>
      <c r="F37" s="155" t="s">
        <v>902</v>
      </c>
      <c r="G37" s="155" t="s">
        <v>902</v>
      </c>
      <c r="H37" s="155" t="s">
        <v>902</v>
      </c>
      <c r="I37" s="155" t="s">
        <v>902</v>
      </c>
      <c r="J37" s="155" t="s">
        <v>902</v>
      </c>
      <c r="K37" s="57"/>
      <c r="AC37" s="44"/>
      <c r="AD37" s="44"/>
      <c r="AE37" s="44"/>
      <c r="AF37" s="44"/>
      <c r="AG37" s="44"/>
      <c r="AH37" s="44"/>
      <c r="AI37" s="44"/>
      <c r="AJ37" s="44"/>
    </row>
    <row r="38" spans="1:230" s="5" customFormat="1" ht="25.5" customHeight="1" x14ac:dyDescent="0.3">
      <c r="A38" s="192"/>
      <c r="B38" s="11" t="s">
        <v>453</v>
      </c>
      <c r="C38" s="156" t="s">
        <v>902</v>
      </c>
      <c r="D38" s="167" t="s">
        <v>902</v>
      </c>
      <c r="E38" s="167" t="s">
        <v>902</v>
      </c>
      <c r="F38" s="167" t="s">
        <v>902</v>
      </c>
      <c r="G38" s="156" t="s">
        <v>902</v>
      </c>
      <c r="H38" s="156" t="s">
        <v>902</v>
      </c>
      <c r="I38" s="156" t="s">
        <v>902</v>
      </c>
      <c r="J38" s="156" t="s">
        <v>902</v>
      </c>
      <c r="K38" s="57"/>
      <c r="AC38" s="44"/>
      <c r="AD38" s="44"/>
      <c r="AE38" s="44"/>
      <c r="AF38" s="44"/>
      <c r="AG38" s="44"/>
      <c r="AH38" s="44"/>
      <c r="AI38" s="44"/>
      <c r="AJ38" s="44"/>
    </row>
    <row r="39" spans="1:230" s="5" customFormat="1" ht="25.5" customHeight="1" x14ac:dyDescent="0.3">
      <c r="A39" s="192"/>
      <c r="B39" s="11" t="s">
        <v>454</v>
      </c>
      <c r="C39" s="167" t="s">
        <v>902</v>
      </c>
      <c r="D39" s="167" t="s">
        <v>902</v>
      </c>
      <c r="E39" s="167" t="s">
        <v>902</v>
      </c>
      <c r="F39" s="167" t="s">
        <v>902</v>
      </c>
      <c r="G39" s="167" t="s">
        <v>902</v>
      </c>
      <c r="H39" s="156" t="s">
        <v>902</v>
      </c>
      <c r="I39" s="156" t="s">
        <v>902</v>
      </c>
      <c r="J39" s="156" t="s">
        <v>902</v>
      </c>
      <c r="K39" s="57"/>
      <c r="AC39" s="44"/>
      <c r="AD39" s="44"/>
      <c r="AE39" s="44"/>
      <c r="AF39" s="44"/>
      <c r="AG39" s="44"/>
      <c r="AH39" s="44"/>
      <c r="AI39" s="44"/>
      <c r="AJ39" s="44"/>
    </row>
    <row r="40" spans="1:230" s="5" customFormat="1" ht="25.5" customHeight="1" x14ac:dyDescent="0.3">
      <c r="A40" s="192"/>
      <c r="B40" s="11" t="s">
        <v>455</v>
      </c>
      <c r="C40" s="167" t="s">
        <v>902</v>
      </c>
      <c r="D40" s="167" t="s">
        <v>902</v>
      </c>
      <c r="E40" s="167" t="s">
        <v>902</v>
      </c>
      <c r="F40" s="167" t="s">
        <v>902</v>
      </c>
      <c r="G40" s="167" t="s">
        <v>902</v>
      </c>
      <c r="H40" s="156" t="s">
        <v>902</v>
      </c>
      <c r="I40" s="156" t="s">
        <v>902</v>
      </c>
      <c r="J40" s="156" t="s">
        <v>902</v>
      </c>
      <c r="K40" s="57"/>
      <c r="AC40" s="44"/>
      <c r="AD40" s="44"/>
      <c r="AE40" s="44"/>
      <c r="AF40" s="44"/>
      <c r="AG40" s="44"/>
      <c r="AH40" s="44"/>
      <c r="AI40" s="44"/>
      <c r="AJ40" s="44"/>
    </row>
    <row r="41" spans="1:230" s="5" customFormat="1" ht="25.5" customHeight="1" x14ac:dyDescent="0.3">
      <c r="A41" s="192"/>
      <c r="B41" s="11" t="s">
        <v>456</v>
      </c>
      <c r="C41" s="167" t="s">
        <v>902</v>
      </c>
      <c r="D41" s="167" t="s">
        <v>902</v>
      </c>
      <c r="E41" s="167" t="s">
        <v>902</v>
      </c>
      <c r="F41" s="167" t="s">
        <v>902</v>
      </c>
      <c r="G41" s="167" t="s">
        <v>902</v>
      </c>
      <c r="H41" s="156" t="s">
        <v>902</v>
      </c>
      <c r="I41" s="156" t="s">
        <v>902</v>
      </c>
      <c r="J41" s="156" t="s">
        <v>902</v>
      </c>
      <c r="K41" s="57"/>
      <c r="AC41" s="44"/>
      <c r="AD41" s="44"/>
      <c r="AE41" s="44"/>
      <c r="AF41" s="44"/>
      <c r="AG41" s="44"/>
      <c r="AH41" s="44"/>
      <c r="AI41" s="44"/>
      <c r="AJ41" s="44"/>
    </row>
    <row r="42" spans="1:230" s="5" customFormat="1" ht="25.5" customHeight="1" x14ac:dyDescent="0.3">
      <c r="A42" s="192"/>
      <c r="B42" s="11" t="s">
        <v>486</v>
      </c>
      <c r="C42" s="167" t="s">
        <v>902</v>
      </c>
      <c r="D42" s="167" t="s">
        <v>902</v>
      </c>
      <c r="E42" s="167" t="s">
        <v>902</v>
      </c>
      <c r="F42" s="167" t="s">
        <v>902</v>
      </c>
      <c r="G42" s="167" t="s">
        <v>902</v>
      </c>
      <c r="H42" s="156" t="s">
        <v>902</v>
      </c>
      <c r="I42" s="156" t="s">
        <v>902</v>
      </c>
      <c r="J42" s="156" t="s">
        <v>902</v>
      </c>
      <c r="K42" s="57"/>
      <c r="AC42" s="44"/>
      <c r="AD42" s="44"/>
      <c r="AE42" s="44"/>
      <c r="AF42" s="44"/>
      <c r="AG42" s="44"/>
      <c r="AH42" s="44"/>
      <c r="AI42" s="44"/>
      <c r="AJ42" s="44"/>
    </row>
    <row r="43" spans="1:230" s="5" customFormat="1" ht="25.5" customHeight="1" x14ac:dyDescent="0.3">
      <c r="A43" s="192"/>
      <c r="B43" s="11" t="s">
        <v>897</v>
      </c>
      <c r="C43" s="167" t="s">
        <v>902</v>
      </c>
      <c r="D43" s="167" t="s">
        <v>902</v>
      </c>
      <c r="E43" s="167" t="s">
        <v>902</v>
      </c>
      <c r="F43" s="167" t="s">
        <v>902</v>
      </c>
      <c r="G43" s="167" t="s">
        <v>902</v>
      </c>
      <c r="H43" s="156" t="s">
        <v>902</v>
      </c>
      <c r="I43" s="156" t="s">
        <v>902</v>
      </c>
      <c r="J43" s="156" t="s">
        <v>902</v>
      </c>
      <c r="K43" s="57"/>
      <c r="AC43" s="44"/>
      <c r="AD43" s="44"/>
      <c r="AE43" s="44"/>
      <c r="AF43" s="44"/>
      <c r="AG43" s="44"/>
      <c r="AH43" s="44"/>
      <c r="AI43" s="44"/>
      <c r="AJ43" s="44"/>
    </row>
    <row r="44" spans="1:230" s="5" customFormat="1" ht="25.5" customHeight="1" x14ac:dyDescent="0.3">
      <c r="A44" s="192"/>
      <c r="B44" s="11" t="s">
        <v>898</v>
      </c>
      <c r="C44" s="167" t="s">
        <v>902</v>
      </c>
      <c r="D44" s="167" t="s">
        <v>902</v>
      </c>
      <c r="E44" s="167" t="s">
        <v>902</v>
      </c>
      <c r="F44" s="167" t="s">
        <v>902</v>
      </c>
      <c r="G44" s="167" t="s">
        <v>902</v>
      </c>
      <c r="H44" s="156" t="s">
        <v>902</v>
      </c>
      <c r="I44" s="156" t="s">
        <v>902</v>
      </c>
      <c r="J44" s="156" t="s">
        <v>902</v>
      </c>
      <c r="K44" s="57"/>
      <c r="AC44" s="44"/>
      <c r="AD44" s="44"/>
      <c r="AE44" s="44"/>
      <c r="AF44" s="44"/>
      <c r="AG44" s="44"/>
      <c r="AH44" s="44"/>
      <c r="AI44" s="44"/>
      <c r="AJ44" s="44"/>
    </row>
    <row r="45" spans="1:230" s="5" customFormat="1" ht="25.5" customHeight="1" x14ac:dyDescent="0.3">
      <c r="A45" s="192"/>
      <c r="B45" s="11" t="s">
        <v>896</v>
      </c>
      <c r="C45" s="167" t="s">
        <v>902</v>
      </c>
      <c r="D45" s="167" t="s">
        <v>902</v>
      </c>
      <c r="E45" s="167" t="s">
        <v>902</v>
      </c>
      <c r="F45" s="167" t="s">
        <v>902</v>
      </c>
      <c r="G45" s="167" t="s">
        <v>902</v>
      </c>
      <c r="H45" s="156" t="s">
        <v>902</v>
      </c>
      <c r="I45" s="156" t="s">
        <v>902</v>
      </c>
      <c r="J45" s="156" t="s">
        <v>902</v>
      </c>
      <c r="K45" s="57"/>
      <c r="AC45" s="44"/>
      <c r="AD45" s="44"/>
      <c r="AE45" s="44"/>
      <c r="AF45" s="44"/>
      <c r="AG45" s="44"/>
      <c r="AH45" s="44"/>
      <c r="AI45" s="44"/>
      <c r="AJ45" s="44"/>
    </row>
    <row r="46" spans="1:230" s="5" customFormat="1" ht="25.5" customHeight="1" x14ac:dyDescent="0.3">
      <c r="A46" s="192"/>
      <c r="B46" s="11" t="s">
        <v>488</v>
      </c>
      <c r="C46" s="167" t="s">
        <v>902</v>
      </c>
      <c r="D46" s="167" t="s">
        <v>902</v>
      </c>
      <c r="E46" s="167" t="s">
        <v>902</v>
      </c>
      <c r="F46" s="156" t="s">
        <v>902</v>
      </c>
      <c r="G46" s="156" t="s">
        <v>902</v>
      </c>
      <c r="H46" s="156" t="s">
        <v>902</v>
      </c>
      <c r="I46" s="156" t="s">
        <v>902</v>
      </c>
      <c r="J46" s="156" t="s">
        <v>902</v>
      </c>
      <c r="K46" s="57"/>
      <c r="AC46" s="44"/>
      <c r="AD46" s="44"/>
      <c r="AE46" s="44"/>
      <c r="AF46" s="44"/>
      <c r="AG46" s="44"/>
      <c r="AH46" s="44"/>
      <c r="AI46" s="44"/>
      <c r="AJ46" s="44"/>
    </row>
    <row r="47" spans="1:230" s="5" customFormat="1" ht="25.5" customHeight="1" x14ac:dyDescent="0.3">
      <c r="A47" s="192"/>
      <c r="B47" s="11" t="s">
        <v>489</v>
      </c>
      <c r="C47" s="167" t="s">
        <v>902</v>
      </c>
      <c r="D47" s="167" t="s">
        <v>902</v>
      </c>
      <c r="E47" s="167" t="s">
        <v>902</v>
      </c>
      <c r="F47" s="156" t="s">
        <v>902</v>
      </c>
      <c r="G47" s="156" t="s">
        <v>902</v>
      </c>
      <c r="H47" s="156" t="s">
        <v>902</v>
      </c>
      <c r="I47" s="156" t="s">
        <v>902</v>
      </c>
      <c r="J47" s="156" t="s">
        <v>902</v>
      </c>
      <c r="K47" s="57"/>
      <c r="AC47" s="44"/>
      <c r="AD47" s="44"/>
      <c r="AE47" s="44"/>
      <c r="AF47" s="44"/>
      <c r="AG47" s="44"/>
      <c r="AH47" s="44"/>
      <c r="AI47" s="44"/>
      <c r="AJ47" s="44"/>
    </row>
    <row r="48" spans="1:230" s="5" customFormat="1" ht="25.5" customHeight="1" x14ac:dyDescent="0.3">
      <c r="A48" s="192"/>
      <c r="B48" s="11" t="s">
        <v>490</v>
      </c>
      <c r="C48" s="156" t="s">
        <v>902</v>
      </c>
      <c r="D48" s="167" t="s">
        <v>902</v>
      </c>
      <c r="E48" s="167" t="s">
        <v>902</v>
      </c>
      <c r="F48" s="156" t="s">
        <v>902</v>
      </c>
      <c r="G48" s="156" t="s">
        <v>902</v>
      </c>
      <c r="H48" s="156" t="s">
        <v>902</v>
      </c>
      <c r="I48" s="156" t="s">
        <v>902</v>
      </c>
      <c r="J48" s="156" t="s">
        <v>902</v>
      </c>
      <c r="K48" s="57"/>
      <c r="AC48" s="44"/>
      <c r="AD48" s="44"/>
      <c r="AE48" s="44"/>
      <c r="AF48" s="44"/>
      <c r="AG48" s="44"/>
      <c r="AH48" s="44"/>
      <c r="AI48" s="44"/>
      <c r="AJ48" s="44"/>
    </row>
    <row r="49" spans="1:36" s="5" customFormat="1" ht="25.5" customHeight="1" x14ac:dyDescent="0.3">
      <c r="A49" s="192"/>
      <c r="B49" s="11" t="s">
        <v>487</v>
      </c>
      <c r="C49" s="156" t="s">
        <v>902</v>
      </c>
      <c r="D49" s="167" t="s">
        <v>902</v>
      </c>
      <c r="E49" s="167" t="s">
        <v>902</v>
      </c>
      <c r="F49" s="156" t="s">
        <v>902</v>
      </c>
      <c r="G49" s="156" t="s">
        <v>902</v>
      </c>
      <c r="H49" s="156" t="s">
        <v>902</v>
      </c>
      <c r="I49" s="156" t="s">
        <v>902</v>
      </c>
      <c r="J49" s="156" t="s">
        <v>902</v>
      </c>
      <c r="K49" s="57"/>
      <c r="AC49" s="44"/>
      <c r="AD49" s="44"/>
      <c r="AE49" s="44"/>
      <c r="AF49" s="44"/>
      <c r="AG49" s="44"/>
      <c r="AH49" s="44"/>
      <c r="AI49" s="44"/>
      <c r="AJ49" s="44"/>
    </row>
    <row r="50" spans="1:36" s="5" customFormat="1" ht="25.5" customHeight="1" x14ac:dyDescent="0.3">
      <c r="A50" s="192"/>
      <c r="B50" s="11" t="s">
        <v>491</v>
      </c>
      <c r="C50" s="156" t="s">
        <v>902</v>
      </c>
      <c r="D50" s="167" t="s">
        <v>902</v>
      </c>
      <c r="E50" s="167" t="s">
        <v>902</v>
      </c>
      <c r="F50" s="167" t="s">
        <v>902</v>
      </c>
      <c r="G50" s="156" t="s">
        <v>902</v>
      </c>
      <c r="H50" s="156" t="s">
        <v>902</v>
      </c>
      <c r="I50" s="156" t="s">
        <v>902</v>
      </c>
      <c r="J50" s="156" t="s">
        <v>902</v>
      </c>
      <c r="K50" s="57"/>
      <c r="AC50" s="44"/>
      <c r="AD50" s="44"/>
      <c r="AE50" s="44"/>
      <c r="AF50" s="44"/>
      <c r="AG50" s="44"/>
      <c r="AH50" s="44"/>
      <c r="AI50" s="44"/>
      <c r="AJ50" s="44"/>
    </row>
    <row r="51" spans="1:36" s="5" customFormat="1" ht="25.5" customHeight="1" x14ac:dyDescent="0.3">
      <c r="A51" s="192"/>
      <c r="B51" s="11" t="s">
        <v>955</v>
      </c>
      <c r="C51" s="156" t="s">
        <v>902</v>
      </c>
      <c r="D51" s="167" t="s">
        <v>902</v>
      </c>
      <c r="E51" s="167" t="s">
        <v>902</v>
      </c>
      <c r="F51" s="167" t="s">
        <v>902</v>
      </c>
      <c r="G51" s="156" t="s">
        <v>902</v>
      </c>
      <c r="H51" s="156" t="s">
        <v>902</v>
      </c>
      <c r="I51" s="156" t="s">
        <v>902</v>
      </c>
      <c r="J51" s="156" t="s">
        <v>902</v>
      </c>
      <c r="K51" s="57"/>
      <c r="AC51" s="44"/>
      <c r="AD51" s="44"/>
      <c r="AE51" s="44"/>
      <c r="AF51" s="44"/>
      <c r="AG51" s="44"/>
      <c r="AH51" s="44"/>
      <c r="AI51" s="44"/>
      <c r="AJ51" s="44"/>
    </row>
    <row r="52" spans="1:36" s="5" customFormat="1" ht="25.5" customHeight="1" x14ac:dyDescent="0.3">
      <c r="A52" s="192"/>
      <c r="B52" s="11" t="s">
        <v>956</v>
      </c>
      <c r="C52" s="156" t="s">
        <v>902</v>
      </c>
      <c r="D52" s="167" t="s">
        <v>902</v>
      </c>
      <c r="E52" s="167" t="s">
        <v>902</v>
      </c>
      <c r="F52" s="156" t="s">
        <v>902</v>
      </c>
      <c r="G52" s="156" t="s">
        <v>902</v>
      </c>
      <c r="H52" s="156" t="s">
        <v>902</v>
      </c>
      <c r="I52" s="156" t="s">
        <v>902</v>
      </c>
      <c r="J52" s="156" t="s">
        <v>902</v>
      </c>
      <c r="K52" s="57"/>
      <c r="AC52" s="44"/>
      <c r="AD52" s="44"/>
      <c r="AE52" s="44"/>
      <c r="AF52" s="44"/>
      <c r="AG52" s="44"/>
      <c r="AH52" s="44"/>
      <c r="AI52" s="44"/>
      <c r="AJ52" s="44"/>
    </row>
    <row r="53" spans="1:36" s="5" customFormat="1" ht="25.5" customHeight="1" x14ac:dyDescent="0.3">
      <c r="A53" s="192"/>
      <c r="B53" s="11" t="s">
        <v>492</v>
      </c>
      <c r="C53" s="156" t="s">
        <v>902</v>
      </c>
      <c r="D53" s="167" t="s">
        <v>902</v>
      </c>
      <c r="E53" s="167" t="s">
        <v>902</v>
      </c>
      <c r="F53" s="156" t="s">
        <v>902</v>
      </c>
      <c r="G53" s="156" t="s">
        <v>902</v>
      </c>
      <c r="H53" s="156" t="s">
        <v>902</v>
      </c>
      <c r="I53" s="156" t="s">
        <v>902</v>
      </c>
      <c r="J53" s="156" t="s">
        <v>902</v>
      </c>
      <c r="K53" s="57"/>
      <c r="AC53" s="44"/>
      <c r="AD53" s="44"/>
      <c r="AE53" s="44"/>
      <c r="AF53" s="44"/>
      <c r="AG53" s="44"/>
      <c r="AH53" s="44"/>
      <c r="AI53" s="44"/>
      <c r="AJ53" s="44"/>
    </row>
    <row r="54" spans="1:36" s="5" customFormat="1" ht="25.5" customHeight="1" x14ac:dyDescent="0.3">
      <c r="A54" s="192"/>
      <c r="B54" s="11" t="s">
        <v>493</v>
      </c>
      <c r="C54" s="156" t="s">
        <v>902</v>
      </c>
      <c r="D54" s="167" t="s">
        <v>902</v>
      </c>
      <c r="E54" s="167" t="s">
        <v>902</v>
      </c>
      <c r="F54" s="156" t="s">
        <v>902</v>
      </c>
      <c r="G54" s="156" t="s">
        <v>902</v>
      </c>
      <c r="H54" s="156" t="s">
        <v>902</v>
      </c>
      <c r="I54" s="156" t="s">
        <v>902</v>
      </c>
      <c r="J54" s="156" t="s">
        <v>902</v>
      </c>
      <c r="K54" s="57"/>
      <c r="AC54" s="44"/>
      <c r="AD54" s="44"/>
      <c r="AE54" s="44"/>
      <c r="AF54" s="44"/>
      <c r="AG54" s="44"/>
      <c r="AH54" s="44"/>
      <c r="AI54" s="44"/>
      <c r="AJ54" s="44"/>
    </row>
    <row r="55" spans="1:36" s="5" customFormat="1" ht="25.5" customHeight="1" x14ac:dyDescent="0.3">
      <c r="A55" s="192"/>
      <c r="B55" s="11" t="s">
        <v>494</v>
      </c>
      <c r="C55" s="156" t="s">
        <v>902</v>
      </c>
      <c r="D55" s="167" t="s">
        <v>902</v>
      </c>
      <c r="E55" s="167" t="s">
        <v>902</v>
      </c>
      <c r="F55" s="156" t="s">
        <v>902</v>
      </c>
      <c r="G55" s="156" t="s">
        <v>902</v>
      </c>
      <c r="H55" s="156" t="s">
        <v>902</v>
      </c>
      <c r="I55" s="156" t="s">
        <v>902</v>
      </c>
      <c r="J55" s="156" t="s">
        <v>902</v>
      </c>
      <c r="K55" s="57"/>
      <c r="AC55" s="44"/>
      <c r="AD55" s="44"/>
      <c r="AE55" s="44"/>
      <c r="AF55" s="44"/>
      <c r="AG55" s="44"/>
      <c r="AH55" s="44"/>
      <c r="AI55" s="44"/>
      <c r="AJ55" s="44"/>
    </row>
    <row r="56" spans="1:36" s="5" customFormat="1" ht="25.5" customHeight="1" x14ac:dyDescent="0.3">
      <c r="A56" s="192"/>
      <c r="B56" s="11" t="s">
        <v>495</v>
      </c>
      <c r="C56" s="156" t="s">
        <v>902</v>
      </c>
      <c r="D56" s="156" t="s">
        <v>902</v>
      </c>
      <c r="E56" s="156" t="s">
        <v>902</v>
      </c>
      <c r="F56" s="156" t="s">
        <v>902</v>
      </c>
      <c r="G56" s="156" t="s">
        <v>902</v>
      </c>
      <c r="H56" s="156" t="s">
        <v>902</v>
      </c>
      <c r="I56" s="156" t="s">
        <v>902</v>
      </c>
      <c r="J56" s="156" t="s">
        <v>902</v>
      </c>
      <c r="K56" s="57"/>
      <c r="AC56" s="44"/>
      <c r="AD56" s="44"/>
      <c r="AE56" s="44"/>
      <c r="AF56" s="44"/>
      <c r="AG56" s="44"/>
      <c r="AH56" s="44"/>
      <c r="AI56" s="44"/>
      <c r="AJ56" s="44"/>
    </row>
    <row r="57" spans="1:36" s="5" customFormat="1" ht="25.5" customHeight="1" thickBot="1" x14ac:dyDescent="0.35">
      <c r="A57" s="192"/>
      <c r="B57" s="11" t="s">
        <v>457</v>
      </c>
      <c r="C57" s="156" t="s">
        <v>902</v>
      </c>
      <c r="D57" s="156" t="s">
        <v>902</v>
      </c>
      <c r="E57" s="156" t="s">
        <v>902</v>
      </c>
      <c r="F57" s="156" t="s">
        <v>902</v>
      </c>
      <c r="G57" s="156" t="s">
        <v>902</v>
      </c>
      <c r="H57" s="156" t="s">
        <v>902</v>
      </c>
      <c r="I57" s="156" t="s">
        <v>902</v>
      </c>
      <c r="J57" s="156" t="s">
        <v>902</v>
      </c>
      <c r="K57" s="57"/>
      <c r="AC57" s="44"/>
      <c r="AD57" s="44"/>
      <c r="AE57" s="44"/>
      <c r="AF57" s="44"/>
      <c r="AG57" s="44"/>
      <c r="AH57" s="44"/>
      <c r="AI57" s="44"/>
      <c r="AJ57" s="44"/>
    </row>
    <row r="58" spans="1:36" s="5" customFormat="1" ht="25.5" customHeight="1" thickBot="1" x14ac:dyDescent="0.35">
      <c r="A58" s="192"/>
      <c r="B58" s="70" t="s">
        <v>943</v>
      </c>
      <c r="C58" s="157">
        <f>SUM(C36:C57)</f>
        <v>0</v>
      </c>
      <c r="D58" s="157">
        <f t="shared" ref="D58:J58" si="2">SUM(D36:D57)</f>
        <v>0</v>
      </c>
      <c r="E58" s="157">
        <f t="shared" si="2"/>
        <v>0</v>
      </c>
      <c r="F58" s="157">
        <f t="shared" si="2"/>
        <v>0</v>
      </c>
      <c r="G58" s="157">
        <f t="shared" si="2"/>
        <v>0</v>
      </c>
      <c r="H58" s="157">
        <f t="shared" si="2"/>
        <v>0</v>
      </c>
      <c r="I58" s="157">
        <f t="shared" si="2"/>
        <v>0</v>
      </c>
      <c r="J58" s="157">
        <f t="shared" si="2"/>
        <v>0</v>
      </c>
      <c r="K58" s="57"/>
      <c r="AC58" s="44"/>
      <c r="AD58" s="44"/>
      <c r="AE58" s="44"/>
      <c r="AF58" s="44"/>
      <c r="AG58" s="44"/>
      <c r="AH58" s="44"/>
      <c r="AI58" s="44"/>
      <c r="AJ58" s="44"/>
    </row>
    <row r="59" spans="1:36" s="8" customFormat="1" ht="25.5" customHeight="1" thickBot="1" x14ac:dyDescent="0.35">
      <c r="A59" s="193"/>
      <c r="B59" s="194" t="s">
        <v>459</v>
      </c>
      <c r="C59" s="195"/>
      <c r="D59" s="195"/>
      <c r="E59" s="195"/>
      <c r="F59" s="195"/>
      <c r="G59" s="195"/>
      <c r="H59" s="195"/>
      <c r="I59" s="195"/>
      <c r="J59" s="196"/>
      <c r="K59" s="57"/>
      <c r="AC59" s="46"/>
      <c r="AD59" s="46"/>
      <c r="AE59" s="46"/>
      <c r="AF59" s="46"/>
      <c r="AG59" s="46"/>
      <c r="AH59" s="46"/>
      <c r="AI59" s="46"/>
      <c r="AJ59" s="46"/>
    </row>
    <row r="60" spans="1:36" s="88" customFormat="1" ht="31.5" customHeight="1" thickTop="1" thickBot="1" x14ac:dyDescent="0.3">
      <c r="A60" s="193"/>
      <c r="B60" s="94" t="str">
        <f>B35</f>
        <v>TIRAGEM:</v>
      </c>
      <c r="C60" s="145">
        <f>C35</f>
        <v>0</v>
      </c>
      <c r="D60" s="145">
        <f t="shared" ref="D60:J60" si="3">D35</f>
        <v>0</v>
      </c>
      <c r="E60" s="145">
        <f t="shared" si="3"/>
        <v>0</v>
      </c>
      <c r="F60" s="145">
        <f t="shared" si="3"/>
        <v>0</v>
      </c>
      <c r="G60" s="145">
        <f t="shared" si="3"/>
        <v>0</v>
      </c>
      <c r="H60" s="145">
        <f t="shared" si="3"/>
        <v>0</v>
      </c>
      <c r="I60" s="145">
        <f t="shared" si="3"/>
        <v>0</v>
      </c>
      <c r="J60" s="145">
        <f t="shared" si="3"/>
        <v>0</v>
      </c>
      <c r="K60" s="93"/>
      <c r="AC60" s="95"/>
      <c r="AD60" s="95"/>
      <c r="AE60" s="95"/>
      <c r="AF60" s="95"/>
      <c r="AG60" s="95"/>
      <c r="AH60" s="95"/>
      <c r="AI60" s="95"/>
      <c r="AJ60" s="95"/>
    </row>
    <row r="61" spans="1:36" ht="31.5" customHeight="1" thickTop="1" thickBot="1" x14ac:dyDescent="0.35">
      <c r="B61" s="12"/>
      <c r="C61" s="158"/>
      <c r="D61" s="158"/>
      <c r="E61" s="159"/>
      <c r="F61" s="159"/>
      <c r="G61" s="159"/>
      <c r="H61" s="159"/>
      <c r="I61" s="159"/>
      <c r="J61" s="159"/>
    </row>
    <row r="62" spans="1:36" ht="30.75" customHeight="1" thickBot="1" x14ac:dyDescent="0.35">
      <c r="B62" s="75" t="s">
        <v>968</v>
      </c>
      <c r="C62" s="99" t="str">
        <f>IF(ISERROR(VLOOKUP(LINHA_DE_PRODUTO_01,$L$3:$N$30,3,FALSE)),"0",VLOOKUP(LINHA_DE_PRODUTO_01,$L$3:$N$30,3,FALSE))</f>
        <v>0</v>
      </c>
      <c r="D62" s="99" t="str">
        <f>IF(ISERROR(VLOOKUP(LINHA_DE_PRODUTO_02,$L$3:$N$30,3,FALSE)),"0",VLOOKUP(LINHA_DE_PRODUTO_02,$L$3:$N$30,3,FALSE))</f>
        <v>0</v>
      </c>
      <c r="E62" s="99" t="str">
        <f>IF(ISERROR(VLOOKUP(LINHA_DE_PRODUTO_03,$L$3:$N$30,3,FALSE)),"0",VLOOKUP(LINHA_DE_PRODUTO_03,$L$3:$N$30,3,FALSE))</f>
        <v>0</v>
      </c>
      <c r="F62" s="99" t="str">
        <f>IF(ISERROR(VLOOKUP(LINHA_DE_PRODUTO_04,$L$3:$N$30,3,FALSE)),"0",VLOOKUP(LINHA_DE_PRODUTO_04,$L$3:$N$30,3,FALSE))</f>
        <v>0</v>
      </c>
      <c r="G62" s="99" t="str">
        <f>IF(ISERROR(VLOOKUP(LINHA_DE_PRODUTO_05,$L$3:$N$30,3,FALSE)),"0",VLOOKUP(LINHA_DE_PRODUTO_05,$L$3:$N$30,3,FALSE))</f>
        <v>0</v>
      </c>
      <c r="H62" s="99" t="str">
        <f>IF(ISERROR(VLOOKUP(LINHA_DE_PRODUTO_06,$L$3:$N$30,3,FALSE)),"0",VLOOKUP(LINHA_DE_PRODUTO_06,$L$3:$N$30,3,FALSE))</f>
        <v>0</v>
      </c>
      <c r="I62" s="99" t="str">
        <f>IF(ISERROR(VLOOKUP(LINHA_DE_PRODUTO_07,$L$3:$N$30,3,FALSE)),"0",VLOOKUP(LINHA_DE_PRODUTO_07,$L$3:$N$30,3,FALSE))</f>
        <v>0</v>
      </c>
      <c r="J62" s="99" t="str">
        <f>IF(ISERROR(VLOOKUP(LINHA_DE_PRODUTO_08,$L$3:$N$30,3,FALSE)),"0",VLOOKUP(LINHA_DE_PRODUTO_08,$L$3:$N$30,3,FALSE))</f>
        <v>0</v>
      </c>
    </row>
    <row r="63" spans="1:36" ht="30.75" customHeight="1" thickBot="1" x14ac:dyDescent="0.35">
      <c r="B63" s="75" t="s">
        <v>967</v>
      </c>
      <c r="C63" s="98">
        <f>PrecoDeCompras_01*MARGEM_MINIMA_01</f>
        <v>0</v>
      </c>
      <c r="D63" s="98">
        <f>PrecoDeCompras_02*MARGEM_MINIMA_02</f>
        <v>0</v>
      </c>
      <c r="E63" s="98">
        <f>PrecoDeCompras_03*MARGEM_MINIMA_03</f>
        <v>0</v>
      </c>
      <c r="F63" s="98">
        <f>PrecoDeCompras_04*MARGEM_MINIMA_04</f>
        <v>0</v>
      </c>
      <c r="G63" s="98">
        <f>PrecoDeCompras_05*MARGEM_MINIMA_05</f>
        <v>0</v>
      </c>
      <c r="H63" s="98">
        <f>PrecoDeCompras_06*MARGEM_MINIMA_06</f>
        <v>0</v>
      </c>
      <c r="I63" s="98">
        <f>PrecoDeCompras_07*MARGEM_MINIMA_07</f>
        <v>0</v>
      </c>
      <c r="J63" s="98">
        <f>PrecoDeCompras_08*MARGEM_MINIMA_08</f>
        <v>0</v>
      </c>
    </row>
    <row r="64" spans="1:36" ht="31.5" customHeight="1" thickBot="1" x14ac:dyDescent="0.35">
      <c r="C64" s="160"/>
      <c r="D64" s="160"/>
      <c r="E64" s="161"/>
      <c r="F64" s="161"/>
      <c r="G64" s="162"/>
      <c r="H64" s="162"/>
      <c r="I64" s="162"/>
      <c r="J64" s="162"/>
    </row>
    <row r="65" spans="2:10" ht="31.5" customHeight="1" thickBot="1" x14ac:dyDescent="0.35">
      <c r="B65" s="75" t="s">
        <v>951</v>
      </c>
      <c r="C65" s="177" t="s">
        <v>902</v>
      </c>
      <c r="D65" s="177" t="s">
        <v>902</v>
      </c>
      <c r="E65" s="177" t="s">
        <v>902</v>
      </c>
      <c r="F65" s="177" t="s">
        <v>902</v>
      </c>
      <c r="G65" s="107" t="s">
        <v>902</v>
      </c>
      <c r="H65" s="107" t="s">
        <v>902</v>
      </c>
      <c r="I65" s="107" t="s">
        <v>902</v>
      </c>
      <c r="J65" s="107" t="s">
        <v>902</v>
      </c>
    </row>
    <row r="66" spans="2:10" ht="31.5" customHeight="1" x14ac:dyDescent="0.3">
      <c r="B66" s="74" t="s">
        <v>945</v>
      </c>
      <c r="C66" s="91">
        <f>IF(ISERROR(TIRAGEM_01*ValorUnitarioMKT_01),"0",TIRAGEM_01*ValorUnitarioMKT_01)</f>
        <v>0</v>
      </c>
      <c r="D66" s="91">
        <f>IF(ISERROR(TIRAGEM_02*ValorUnitarioMKT_02),"0",TIRAGEM_02*ValorUnitarioMKT_02)</f>
        <v>0</v>
      </c>
      <c r="E66" s="91">
        <f>IF(ISERROR(TIRAGEM_03*ValorUnitarioMKT_03),"0",TIRAGEM_03*ValorUnitarioMKT_03)</f>
        <v>0</v>
      </c>
      <c r="F66" s="91">
        <f>IF(ISERROR(TIRAGEM_04*ValorUnitarioMKT_04),"0",TIRAGEM_04*ValorUnitarioMKT_04)</f>
        <v>0</v>
      </c>
      <c r="G66" s="91">
        <f>IF(ISERROR(TIRAGEM_05*ValorUnitarioMKT_05),"0",TIRAGEM_05*ValorUnitarioMKT_05)</f>
        <v>0</v>
      </c>
      <c r="H66" s="91">
        <f>IF(ISERROR(TIRAGEM_06*ValorUnitarioMKT_06),"0",TIRAGEM_06*ValorUnitarioMKT_06)</f>
        <v>0</v>
      </c>
      <c r="I66" s="91">
        <f>IF(ISERROR(TIRAGEM_07*ValorUnitarioMKT_07),"0",TIRAGEM_07*ValorUnitarioMKT_07)</f>
        <v>0</v>
      </c>
      <c r="J66" s="91">
        <f>IF(ISERROR(TIRAGEM_08*ValorUnitarioMKT_08),"0",TIRAGEM_08*ValorUnitarioMKT_08)</f>
        <v>0</v>
      </c>
    </row>
    <row r="67" spans="2:10" ht="31.5" customHeight="1" x14ac:dyDescent="0.3">
      <c r="B67" s="73" t="s">
        <v>952</v>
      </c>
      <c r="C67" s="90" t="str">
        <f>IF(ISERROR(PrecoMKT_01/TIRAGEM_01),"0",PrecoMKT_01/TIRAGEM_01)</f>
        <v>0</v>
      </c>
      <c r="D67" s="90" t="str">
        <f>IF(ISERROR(PrecoMKT_02/TIRAGEM_02),"0",PrecoMKT_02/TIRAGEM_02)</f>
        <v>0</v>
      </c>
      <c r="E67" s="90" t="str">
        <f>IF(ISERROR(PrecoMKT_03/TIRAGEM_03),"0",PrecoMKT_03/TIRAGEM_03)</f>
        <v>0</v>
      </c>
      <c r="F67" s="90" t="str">
        <f>IF(ISERROR(PrecoMKT_04/TIRAGEM_04),"0",PrecoMKT_04/TIRAGEM_04)</f>
        <v>0</v>
      </c>
      <c r="G67" s="90" t="str">
        <f>IF(ISERROR(PrecoMKT_05/TIRAGEM_05),"0",PrecoMKT_05/TIRAGEM_05)</f>
        <v>0</v>
      </c>
      <c r="H67" s="90" t="str">
        <f>IF(ISERROR(PrecoMKT_06/TIRAGEM_06),"0",PrecoMKT_06/TIRAGEM_06)</f>
        <v>0</v>
      </c>
      <c r="I67" s="90" t="str">
        <f>IF(ISERROR(PrecoMKT_07/TIRAGEM_07),"0",PrecoMKT_07/TIRAGEM_07)</f>
        <v>0</v>
      </c>
      <c r="J67" s="90" t="str">
        <f>IF(ISERROR(PrecoMKT_08/TIRAGEM_08),"0",PrecoMKT_08/TIRAGEM_08)</f>
        <v>0</v>
      </c>
    </row>
    <row r="68" spans="2:10" ht="31.5" customHeight="1" x14ac:dyDescent="0.3">
      <c r="B68" s="73" t="s">
        <v>953</v>
      </c>
      <c r="C68" s="71" t="str">
        <f>IF(ISERROR(MargemBrutaMKT_01/PrecoMKT_01),"0",MargemBrutaMKT_01/PrecoMKT_01)</f>
        <v>0</v>
      </c>
      <c r="D68" s="71" t="str">
        <f>IF(ISERROR(MargemBrutaMKT_02/PrecoMKT_02),"0",MargemBrutaMKT_02/PrecoMKT_02)</f>
        <v>0</v>
      </c>
      <c r="E68" s="71" t="str">
        <f>IF(ISERROR(MargemBrutaMKT_03/PrecoMKT_03),"0",MargemBrutaMKT_03/PrecoMKT_03)</f>
        <v>0</v>
      </c>
      <c r="F68" s="71" t="str">
        <f>IF(ISERROR(MargemBrutaMKT_04/PrecoMKT_04),"0",MargemBrutaMKT_04/PrecoMKT_04)</f>
        <v>0</v>
      </c>
      <c r="G68" s="71" t="str">
        <f>IF(ISERROR(MargemBrutaMKT_05/PrecoMKT_05),"0",MargemBrutaMKT_05/PrecoMKT_05)</f>
        <v>0</v>
      </c>
      <c r="H68" s="71" t="str">
        <f>IF(ISERROR(MargemBrutaMKT_06/PrecoMKT_06),"0",MargemBrutaMKT_06/PrecoMKT_06)</f>
        <v>0</v>
      </c>
      <c r="I68" s="71" t="str">
        <f>IF(ISERROR(MargemBrutaMKT_07/PrecoMKT_07),"0",MargemBrutaMKT_07/PrecoMKT_07)</f>
        <v>0</v>
      </c>
      <c r="J68" s="71" t="str">
        <f>IF(ISERROR(MargemBrutaMKT_08/PrecoMKT_08),"0",MargemBrutaMKT_08/PrecoMKT_08)</f>
        <v>0</v>
      </c>
    </row>
    <row r="69" spans="2:10" ht="31.5" customHeight="1" x14ac:dyDescent="0.3">
      <c r="B69" s="73" t="s">
        <v>950</v>
      </c>
      <c r="C69" s="90">
        <f>IF(ISERROR(PrecoMKT_01-SomaCustos_01),"0",PrecoMKT_01-SomaCustos_01)</f>
        <v>0</v>
      </c>
      <c r="D69" s="90">
        <f>IF(ISERROR(PrecoMKT_02-SomaCustos_02),"0",PrecoMKT_02-SomaCustos_02)</f>
        <v>0</v>
      </c>
      <c r="E69" s="90">
        <f>IF(ISERROR(PrecoMKT_03-SomaCustos_03),"0",PrecoMKT_03-SomaCustos_03)</f>
        <v>0</v>
      </c>
      <c r="F69" s="90">
        <f>IF(ISERROR(PrecoMKT_04-SomaCustos_04),"0",PrecoMKT_04-SomaCustos_04)</f>
        <v>0</v>
      </c>
      <c r="G69" s="90">
        <f>IF(ISERROR(PrecoMKT_05-SomaCustos_05),"0",PrecoMKT_05-SomaCustos_05)</f>
        <v>0</v>
      </c>
      <c r="H69" s="90">
        <f>IF(ISERROR(PrecoMKT_06-SomaCustos_06),"0",PrecoMKT_06-SomaCustos_06)</f>
        <v>0</v>
      </c>
      <c r="I69" s="90">
        <f>IF(ISERROR(PrecoMKT_07-SomaCustos_07),"0",PrecoMKT_07-SomaCustos_07)</f>
        <v>0</v>
      </c>
      <c r="J69" s="90">
        <f>IF(ISERROR(PrecoMKT_08-SomaCustos_08),"0",PrecoMKT_08-SomaCustos_08)</f>
        <v>0</v>
      </c>
    </row>
    <row r="70" spans="2:10" ht="31.5" customHeight="1" thickBot="1" x14ac:dyDescent="0.35">
      <c r="C70" s="160"/>
      <c r="D70" s="160"/>
      <c r="E70" s="161"/>
      <c r="F70" s="161"/>
      <c r="G70" s="162"/>
      <c r="H70" s="162"/>
      <c r="I70" s="162"/>
      <c r="J70" s="162"/>
    </row>
    <row r="71" spans="2:10" ht="30.75" customHeight="1" thickBot="1" x14ac:dyDescent="0.35">
      <c r="B71" s="75" t="s">
        <v>944</v>
      </c>
      <c r="C71" s="182" t="s">
        <v>957</v>
      </c>
      <c r="D71" s="182" t="s">
        <v>957</v>
      </c>
      <c r="E71" s="182" t="s">
        <v>957</v>
      </c>
      <c r="F71" s="182" t="s">
        <v>957</v>
      </c>
      <c r="G71" s="108" t="s">
        <v>957</v>
      </c>
      <c r="H71" s="108" t="s">
        <v>957</v>
      </c>
      <c r="I71" s="108" t="s">
        <v>957</v>
      </c>
      <c r="J71" s="109" t="s">
        <v>957</v>
      </c>
    </row>
    <row r="72" spans="2:10" ht="30.75" customHeight="1" thickBot="1" x14ac:dyDescent="0.35">
      <c r="B72" s="86" t="s">
        <v>946</v>
      </c>
      <c r="C72" s="92">
        <f>IF(ISERROR(PrecoMKT_01*(100%-DescontoPadrao_01)),"0",PrecoMKT_01*(100%-DescontoPadrao_01))</f>
        <v>0</v>
      </c>
      <c r="D72" s="92">
        <f>IF(ISERROR(PrecoMKT_02*(100%-DescontoPadrao_02)),"0",PrecoMKT_02*(100%-DescontoPadrao_02))</f>
        <v>0</v>
      </c>
      <c r="E72" s="92">
        <f>IF(ISERROR(PrecoMKT_03*(100%-DescontoPadrao_03)),"0",PrecoMKT_03*(100%-DescontoPadrao_03))</f>
        <v>0</v>
      </c>
      <c r="F72" s="92">
        <f>IF(ISERROR(PrecoMKT_04*(100%-DescontoPadrao_04)),"0",PrecoMKT_04*(100%-DescontoPadrao_04))</f>
        <v>0</v>
      </c>
      <c r="G72" s="92">
        <f>IF(ISERROR(PrecoMKT_05*(100%-DescontoPadrao_05)),"0",PrecoMKT_05*(100%-DescontoPadrao_05))</f>
        <v>0</v>
      </c>
      <c r="H72" s="92">
        <f>IF(ISERROR(PrecoMKT_06*(100%-DescontoPadrao_06)),"0",PrecoMKT_06*(100%-DescontoPadrao_06))</f>
        <v>0</v>
      </c>
      <c r="I72" s="92">
        <f>IF(ISERROR(PrecoMKT_07*(100%-DescontoPadrao_07)),"0",PrecoMKT_07*(100%-DescontoPadrao_07))</f>
        <v>0</v>
      </c>
      <c r="J72" s="92">
        <f>IF(ISERROR(PrecoMKT_08*(100%-DescontoPadrao_08)),"0",PrecoMKT_08*(100%-DescontoPadrao_08))</f>
        <v>0</v>
      </c>
    </row>
    <row r="73" spans="2:10" ht="30.75" customHeight="1" thickBot="1" x14ac:dyDescent="0.35">
      <c r="B73" s="75" t="s">
        <v>945</v>
      </c>
      <c r="C73" s="177" t="s">
        <v>902</v>
      </c>
      <c r="D73" s="177" t="s">
        <v>902</v>
      </c>
      <c r="E73" s="177" t="s">
        <v>902</v>
      </c>
      <c r="F73" s="177" t="s">
        <v>902</v>
      </c>
      <c r="G73" s="107" t="s">
        <v>902</v>
      </c>
      <c r="H73" s="107" t="s">
        <v>902</v>
      </c>
      <c r="I73" s="107" t="s">
        <v>902</v>
      </c>
      <c r="J73" s="110" t="s">
        <v>902</v>
      </c>
    </row>
    <row r="74" spans="2:10" ht="30.75" customHeight="1" x14ac:dyDescent="0.3">
      <c r="B74" s="74" t="s">
        <v>947</v>
      </c>
      <c r="C74" s="87" t="str">
        <f>IF(ISERROR(+(PrecoDeCompras_01-SomaCustos_01)/PrecoDeCompras_01),"0",+(PrecoDeCompras_01-SomaCustos_01)/PrecoDeCompras_01)</f>
        <v>0</v>
      </c>
      <c r="D74" s="87" t="str">
        <f>IF(ISERROR(+(PrecoDeCompras_02-SomaCustos_02)/PrecoDeCompras_02),"0",+(PrecoDeCompras_02-SomaCustos_02)/PrecoDeCompras_02)</f>
        <v>0</v>
      </c>
      <c r="E74" s="87" t="str">
        <f>IF(ISERROR(+(PrecoDeCompras_03-SomaCustos_03)/PrecoDeCompras_03),"0",+(PrecoDeCompras_03-SomaCustos_03)/PrecoDeCompras_03)</f>
        <v>0</v>
      </c>
      <c r="F74" s="87" t="str">
        <f>IF(ISERROR(+(PrecoDeCompras_04-SomaCustos_04)/PrecoDeCompras_04),"0",+(PrecoDeCompras_04-SomaCustos_04)/PrecoDeCompras_04)</f>
        <v>0</v>
      </c>
      <c r="G74" s="87" t="str">
        <f>IF(ISERROR(+(PrecoDeCompras_05-SomaCustos_05)/PrecoDeCompras_05),"0",+(PrecoDeCompras_05-SomaCustos_05)/PrecoDeCompras_05)</f>
        <v>0</v>
      </c>
      <c r="H74" s="87" t="str">
        <f>IF(ISERROR(+(PrecoDeCompras_06-SomaCustos_06)/PrecoDeCompras_06),"0",+(PrecoDeCompras_06-SomaCustos_06)/PrecoDeCompras_06)</f>
        <v>0</v>
      </c>
      <c r="I74" s="87" t="str">
        <f>IF(ISERROR(+(PrecoDeCompras_07-SomaCustos_07)/PrecoDeCompras_07),"0",+(PrecoDeCompras_07-SomaCustos_07)/PrecoDeCompras_07)</f>
        <v>0</v>
      </c>
      <c r="J74" s="87" t="str">
        <f>IF(ISERROR(+(PrecoDeCompras_08-SomaCustos_08)/PrecoDeCompras_08),"0",+(PrecoDeCompras_08-SomaCustos_08)/PrecoDeCompras_08)</f>
        <v>0</v>
      </c>
    </row>
    <row r="75" spans="2:10" ht="30.75" customHeight="1" x14ac:dyDescent="0.3">
      <c r="B75" s="73" t="s">
        <v>948</v>
      </c>
      <c r="C75" s="90" t="str">
        <f>IF(ISERROR(PrecoDeCompras_01/TIRAGEM_01),"0",PrecoDeCompras_01/TIRAGEM_01)</f>
        <v>0</v>
      </c>
      <c r="D75" s="90" t="str">
        <f>IF(ISERROR(PrecoDeCompras_02/TIRAGEM_02),"0",PrecoDeCompras_02/TIRAGEM_02)</f>
        <v>0</v>
      </c>
      <c r="E75" s="90" t="str">
        <f>IF(ISERROR(PrecoDeCompras_03/TIRAGEM_03),"0",PrecoDeCompras_03/TIRAGEM_03)</f>
        <v>0</v>
      </c>
      <c r="F75" s="90" t="str">
        <f>IF(ISERROR(PrecoDeCompras_04/TIRAGEM_04),"0",PrecoDeCompras_04/TIRAGEM_04)</f>
        <v>0</v>
      </c>
      <c r="G75" s="90" t="str">
        <f>IF(ISERROR(PrecoDeCompras_05/TIRAGEM_05),"0",PrecoDeCompras_05/TIRAGEM_05)</f>
        <v>0</v>
      </c>
      <c r="H75" s="90" t="str">
        <f>IF(ISERROR(PrecoDeCompras_06/TIRAGEM_06),"0",PrecoDeCompras_06/TIRAGEM_06)</f>
        <v>0</v>
      </c>
      <c r="I75" s="90" t="str">
        <f>IF(ISERROR(PrecoDeCompras_07/TIRAGEM_07),"0",PrecoDeCompras_07/TIRAGEM_07)</f>
        <v>0</v>
      </c>
      <c r="J75" s="90" t="str">
        <f>IF(ISERROR(PrecoDeCompras_08/TIRAGEM_08),"0",PrecoDeCompras_08/TIRAGEM_08)</f>
        <v>0</v>
      </c>
    </row>
    <row r="76" spans="2:10" ht="30.75" customHeight="1" x14ac:dyDescent="0.3">
      <c r="B76" s="73" t="s">
        <v>949</v>
      </c>
      <c r="C76" s="72" t="str">
        <f>IF(ISERROR(+(PrecoDeCompras_01/PrecoMKT_01)-1),"0",+(PrecoDeCompras_01/PrecoMKT_01)-1)</f>
        <v>0</v>
      </c>
      <c r="D76" s="72" t="str">
        <f>IF(ISERROR(+(PrecoDeCompras_02/PrecoMKT_02)-1),"0",+(PrecoDeCompras_02/PrecoMKT_02)-1)</f>
        <v>0</v>
      </c>
      <c r="E76" s="72" t="str">
        <f>IF(ISERROR(+(PrecoDeCompras_03/PrecoMKT_03)-1),"0",+(PrecoDeCompras_03/PrecoMKT_03)-1)</f>
        <v>0</v>
      </c>
      <c r="F76" s="72" t="str">
        <f>IF(ISERROR(+(PrecoDeCompras_04/PrecoMKT_04)-1),"0",+(PrecoDeCompras_04/PrecoMKT_04)-1)</f>
        <v>0</v>
      </c>
      <c r="G76" s="72" t="str">
        <f>IF(ISERROR(+(PrecoDeCompras_05/PrecoMKT_05)-1),"0",+(PrecoDeCompras_05/PrecoMKT_05)-1)</f>
        <v>0</v>
      </c>
      <c r="H76" s="72" t="str">
        <f>IF(ISERROR(+(PrecoDeCompras_06/PrecoMKT_06)-1),"0",+(PrecoDeCompras_06/PrecoMKT_06)-1)</f>
        <v>0</v>
      </c>
      <c r="I76" s="72" t="str">
        <f>IF(ISERROR(+(PrecoDeCompras_07/PrecoMKT_07)-1),"0",+(PrecoDeCompras_07/PrecoMKT_07)-1)</f>
        <v>0</v>
      </c>
      <c r="J76" s="72" t="str">
        <f>IF(ISERROR(+(PrecoDeCompras_08/PrecoMKT_08)-1),"0",+(PrecoDeCompras_08/PrecoMKT_08)-1)</f>
        <v>0</v>
      </c>
    </row>
    <row r="77" spans="2:10" ht="30.75" customHeight="1" x14ac:dyDescent="0.3">
      <c r="B77" s="73" t="s">
        <v>950</v>
      </c>
      <c r="C77" s="90">
        <f>IF(ISERROR(PrecoTotal_01-SomaCustos_01),"0",PrecoTotal_01-SomaCustos_01)</f>
        <v>0</v>
      </c>
      <c r="D77" s="90">
        <f>IF(ISERROR(PrecoTotal_02-SomaCustos_02),"0",PrecoTotal_02-SomaCustos_02)</f>
        <v>0</v>
      </c>
      <c r="E77" s="90">
        <f>IF(ISERROR(PrecoTotal_03-SomaCustos_03),"0",PrecoTotal_03-SomaCustos_03)</f>
        <v>0</v>
      </c>
      <c r="F77" s="90">
        <f>IF(ISERROR(PrecoTotal_04-SomaCustos_04),"0",PrecoTotal_04-SomaCustos_04)</f>
        <v>0</v>
      </c>
      <c r="G77" s="90">
        <f>IF(ISERROR(PrecoTotal_05-SomaCustos_05),"0",PrecoTotal_05-SomaCustos_05)</f>
        <v>0</v>
      </c>
      <c r="H77" s="90">
        <f>IF(ISERROR(PrecoTotal_06-SomaCustos_06),"0",PrecoTotal_06-SomaCustos_06)</f>
        <v>0</v>
      </c>
      <c r="I77" s="90">
        <f>IF(ISERROR(PrecoTotal_07-SomaCustos_07),"0",PrecoTotal_07-SomaCustos_07)</f>
        <v>0</v>
      </c>
      <c r="J77" s="90">
        <f>IF(ISERROR(PrecoTotal_08-SomaCustos_08),"0",PrecoTotal_08-SomaCustos_08)</f>
        <v>0</v>
      </c>
    </row>
    <row r="78" spans="2:10" ht="31.5" customHeight="1" x14ac:dyDescent="0.3">
      <c r="C78" s="163"/>
      <c r="D78" s="163"/>
      <c r="E78" s="164"/>
      <c r="F78" s="164"/>
      <c r="G78" s="165"/>
      <c r="H78" s="165"/>
      <c r="I78" s="165"/>
      <c r="J78" s="165"/>
    </row>
    <row r="79" spans="2:10" ht="30.75" customHeight="1" x14ac:dyDescent="0.3">
      <c r="B79" s="89" t="s">
        <v>964</v>
      </c>
      <c r="C79" s="114">
        <v>0.90749999999999997</v>
      </c>
      <c r="D79" s="163"/>
      <c r="E79" s="164"/>
      <c r="F79" s="164"/>
      <c r="G79" s="165"/>
      <c r="H79" s="165"/>
      <c r="I79" s="165"/>
      <c r="J79" s="165"/>
    </row>
    <row r="80" spans="2:10" ht="30.75" customHeight="1" x14ac:dyDescent="0.3">
      <c r="B80" s="89" t="s">
        <v>965</v>
      </c>
      <c r="C80" s="114">
        <v>0.85750000000000004</v>
      </c>
      <c r="D80" s="160"/>
      <c r="E80" s="161"/>
      <c r="F80" s="161"/>
      <c r="G80" s="162"/>
      <c r="H80" s="162"/>
      <c r="I80" s="162"/>
      <c r="J80" s="162"/>
    </row>
    <row r="81" spans="2:10" ht="31.5" customHeight="1" thickBot="1" x14ac:dyDescent="0.35">
      <c r="C81" s="160"/>
      <c r="D81" s="160"/>
      <c r="E81" s="161"/>
      <c r="F81" s="161"/>
      <c r="G81" s="162"/>
      <c r="H81" s="162"/>
      <c r="I81" s="162"/>
      <c r="J81" s="162"/>
    </row>
    <row r="82" spans="2:10" ht="31.5" customHeight="1" x14ac:dyDescent="0.3">
      <c r="B82" s="100" t="s">
        <v>963</v>
      </c>
      <c r="C82" s="101">
        <f>IF(C15="PRODUTO",IF(ISERROR(+PrecoMKT_01/PRODUTO),"",+PrecoMKT_01/PRODUTO),IF(ISERROR(+PrecoMKT_01/SERVICO),"",+PrecoMKT_01/SERVICO))</f>
        <v>0</v>
      </c>
      <c r="D82" s="101">
        <f>IF(D15="PRODUTO",IF(ISERROR(+PrecoMKT_02/PRODUTO),"",+PrecoMKT_02/PRODUTO),IF(ISERROR(+PrecoMKT_02/SERVICO),"",+PrecoMKT_02/SERVICO))</f>
        <v>0</v>
      </c>
      <c r="E82" s="101">
        <f>IF(E15="PRODUTO",IF(ISERROR(+PrecoMKT_03/PRODUTO),"",+PrecoMKT_03/PRODUTO),IF(ISERROR(+PrecoMKT_03/SERVICO),"",+PrecoMKT_03/SERVICO))</f>
        <v>0</v>
      </c>
      <c r="F82" s="101">
        <f>IF(F15="PRODUTO",IF(ISERROR(+PrecoMKT_04/PRODUTO),"",+PrecoMKT_04/PRODUTO),IF(ISERROR(+PrecoMKT_04/SERVICO),"",+PrecoMKT_04/SERVICO))</f>
        <v>0</v>
      </c>
      <c r="G82" s="101">
        <f>IF(G15="PRODUTO",IF(ISERROR(+PrecoMKT_05/PRODUTO),"",+PrecoMKT_05/PRODUTO),IF(ISERROR(+PrecoMKT_05/SERVICO),"",+PrecoMKT_05/SERVICO))</f>
        <v>0</v>
      </c>
      <c r="H82" s="101">
        <f>IF(H15="PRODUTO",IF(ISERROR(+PrecoMKT_06/PRODUTO),"",+PrecoMKT_06/PRODUTO),IF(ISERROR(+PrecoMKT_06/SERVICO),"",+PrecoMKT_06/SERVICO))</f>
        <v>0</v>
      </c>
      <c r="I82" s="101">
        <f>IF(I15="PRODUTO",IF(ISERROR(+PrecoMKT_07/PRODUTO),"",+PrecoMKT_07/PRODUTO),IF(ISERROR(+PrecoMKT_07/SERVICO),"",+PrecoMKT_07/SERVICO))</f>
        <v>0</v>
      </c>
      <c r="J82" s="102">
        <f>IF(J15="PRODUTO",IF(ISERROR(+PrecoMKT_08/PRODUTO),"",+PrecoMKT_08/PRODUTO),IF(ISERROR(+PrecoMKT_08/SERVICO),"",+PrecoMKT_08/SERVICO))</f>
        <v>0</v>
      </c>
    </row>
    <row r="83" spans="2:10" ht="31.5" customHeight="1" x14ac:dyDescent="0.3">
      <c r="B83" s="103" t="s">
        <v>962</v>
      </c>
      <c r="C83" s="183" t="s">
        <v>902</v>
      </c>
      <c r="D83" s="183" t="s">
        <v>902</v>
      </c>
      <c r="E83" s="183" t="s">
        <v>902</v>
      </c>
      <c r="F83" s="183" t="s">
        <v>902</v>
      </c>
      <c r="G83" s="111">
        <v>0</v>
      </c>
      <c r="H83" s="111">
        <v>0</v>
      </c>
      <c r="I83" s="111">
        <v>0</v>
      </c>
      <c r="J83" s="112">
        <v>0</v>
      </c>
    </row>
    <row r="84" spans="2:10" ht="31.5" customHeight="1" thickBot="1" x14ac:dyDescent="0.35">
      <c r="B84" s="104" t="s">
        <v>961</v>
      </c>
      <c r="C84" s="105" t="str">
        <f>IF(ISERROR(+ARREDONDAMENT0_01/TIRAGEM_01),"0",+ARREDONDAMENT0_01/TIRAGEM_01)</f>
        <v>0</v>
      </c>
      <c r="D84" s="105" t="str">
        <f>IF(ISERROR(+ARREDONDAMENT0_02/TIRAGEM_02),"0",+ARREDONDAMENT0_02/TIRAGEM_02)</f>
        <v>0</v>
      </c>
      <c r="E84" s="105" t="str">
        <f>IF(ISERROR(+ARREDONDAMENT0_03/TIRAGEM_03),"0",+ARREDONDAMENT0_03/TIRAGEM_03)</f>
        <v>0</v>
      </c>
      <c r="F84" s="105" t="str">
        <f>IF(ISERROR(+ARREDONDAMENT0_04/TIRAGEM_04),"0",+ARREDONDAMENT0_04/TIRAGEM_04)</f>
        <v>0</v>
      </c>
      <c r="G84" s="105" t="str">
        <f>IF(ISERROR(+ARREDONDAMENT0_05/TIRAGEM_05),"0",+ARREDONDAMENT0_05/TIRAGEM_05)</f>
        <v>0</v>
      </c>
      <c r="H84" s="105" t="str">
        <f>IF(ISERROR(+ARREDONDAMENT0_06/TIRAGEM_06),"0",+ARREDONDAMENT0_06/TIRAGEM_06)</f>
        <v>0</v>
      </c>
      <c r="I84" s="105" t="str">
        <f>IF(ISERROR(+ARREDONDAMENT0_07/TIRAGEM_07),"0",+ARREDONDAMENT0_07/TIRAGEM_07)</f>
        <v>0</v>
      </c>
      <c r="J84" s="106" t="str">
        <f>IF(ISERROR(+ARREDONDAMENT0_08/TIRAGEM_08),"0",+ARREDONDAMENT0_08/TIRAGEM_08)</f>
        <v>0</v>
      </c>
    </row>
    <row r="85" spans="2:10" ht="31.5" customHeight="1" x14ac:dyDescent="0.3">
      <c r="C85" s="160"/>
      <c r="D85" s="160"/>
      <c r="E85" s="161"/>
      <c r="F85" s="161"/>
      <c r="G85" s="162"/>
      <c r="H85" s="162"/>
      <c r="I85" s="162"/>
      <c r="J85" s="162"/>
    </row>
    <row r="86" spans="2:10" ht="31.5" customHeight="1" x14ac:dyDescent="0.3">
      <c r="B86" s="73" t="s">
        <v>966</v>
      </c>
      <c r="C86" s="97">
        <f>IF(ISERROR(PRECO_VENDA_GROSS_01*FASCICULOS_01),"",PRECO_VENDA_GROSS_01*FASCICULOS_01)</f>
        <v>0</v>
      </c>
      <c r="D86" s="97">
        <f>IF(ISERROR(PRECO_VENDA_GROSS_02*FASCICULOS_02),"",PRECO_VENDA_GROSS_02*FASCICULOS_02)</f>
        <v>0</v>
      </c>
      <c r="E86" s="97">
        <f>IF(ISERROR(PRECO_VENDA_GROSS_03*FASCICULOS_03),"",PRECO_VENDA_GROSS_03*FASCICULOS_03)</f>
        <v>0</v>
      </c>
      <c r="F86" s="97">
        <f>IF(ISERROR(PRECO_VENDA_GROSS_04*FASCICULOS_04),"",PRECO_VENDA_GROSS_04*FASCICULOS_04)</f>
        <v>0</v>
      </c>
      <c r="G86" s="97">
        <f>IF(ISERROR(PRECO_VENDA_GROSS_05*FASCICULOS_05),"",PRECO_VENDA_GROSS_05*FASCICULOS_05)</f>
        <v>0</v>
      </c>
      <c r="H86" s="97">
        <f>IF(ISERROR(PRECO_VENDA_GROSS_06*FASCICULOS_06),"",PRECO_VENDA_GROSS_06*FASCICULOS_06)</f>
        <v>0</v>
      </c>
      <c r="I86" s="97">
        <f>IF(ISERROR(PRECO_VENDA_GROSS_07*FASCICULOS_07),"",PRECO_VENDA_GROSS_07*FASCICULOS_07)</f>
        <v>0</v>
      </c>
      <c r="J86" s="97">
        <f>IF(ISERROR(PRECO_VENDA_GROSS_08*FASCICULOS_08),"",PRECO_VENDA_GROSS_08*FASCICULOS_08)</f>
        <v>0</v>
      </c>
    </row>
    <row r="1048508" spans="1:252" s="19" customFormat="1" x14ac:dyDescent="0.3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8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8"/>
      <c r="AD1048508" s="48"/>
      <c r="AE1048508" s="48"/>
      <c r="AF1048508" s="48"/>
      <c r="AG1048508" s="48"/>
      <c r="AH1048508" s="48"/>
      <c r="AI1048508" s="48"/>
      <c r="AJ1048508" s="48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 x14ac:dyDescent="0.3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8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8"/>
      <c r="AD1048509" s="48"/>
      <c r="AE1048509" s="48"/>
      <c r="AF1048509" s="48"/>
      <c r="AG1048509" s="48"/>
      <c r="AH1048509" s="48"/>
      <c r="AI1048509" s="48"/>
      <c r="AJ1048509" s="48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algorithmName="SHA-512" hashValue="G2nr7kOg43i9BF3PinxPlFvShSD8Bwf0DYszNLGlKsXloSO3hoZxnK1v4qEDGMJJu5hOu39xF/8kK15qYNqR6A==" saltValue="AVvmJkC9XlsUUNVSA2HVIQ==" spinCount="100000" sheet="1" objects="1" scenarios="1"/>
  <dataConsolidate/>
  <mergeCells count="33">
    <mergeCell ref="AF1:AG1"/>
    <mergeCell ref="AI1:AJ1"/>
    <mergeCell ref="B2:J2"/>
    <mergeCell ref="A3:A34"/>
    <mergeCell ref="C3:E3"/>
    <mergeCell ref="G3:H3"/>
    <mergeCell ref="W3:Z3"/>
    <mergeCell ref="C4:E4"/>
    <mergeCell ref="G4:H4"/>
    <mergeCell ref="I4:I7"/>
    <mergeCell ref="B1:J1"/>
    <mergeCell ref="L1:N1"/>
    <mergeCell ref="P1:Q1"/>
    <mergeCell ref="S1:T1"/>
    <mergeCell ref="V1:Z1"/>
    <mergeCell ref="AC1:AD1"/>
    <mergeCell ref="B32:J32"/>
    <mergeCell ref="J4:J7"/>
    <mergeCell ref="C5:H5"/>
    <mergeCell ref="B6:B7"/>
    <mergeCell ref="C6:H7"/>
    <mergeCell ref="C8:J8"/>
    <mergeCell ref="C9:J9"/>
    <mergeCell ref="C10:J10"/>
    <mergeCell ref="B11:J11"/>
    <mergeCell ref="B24:J24"/>
    <mergeCell ref="B30:J30"/>
    <mergeCell ref="B31:J31"/>
    <mergeCell ref="B33:J33"/>
    <mergeCell ref="B34:J34"/>
    <mergeCell ref="A35:A58"/>
    <mergeCell ref="A59:A60"/>
    <mergeCell ref="B59:J59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qref="HY20:IF20">
      <formula1>$P$3:$P$6</formula1>
    </dataValidation>
    <dataValidation type="list" allowBlank="1" sqref="HY15:IF15">
      <formula1>$S$3:$S$4</formula1>
    </dataValidation>
    <dataValidation type="list" allowBlank="1" sqref="IC5:ID5">
      <formula1>$L$3:$L$15</formula1>
    </dataValidation>
    <dataValidation type="list" allowBlank="1" errorTitle="Validação" error="Favor preencher conforme a lista!" sqref="HY8:IF9">
      <formula1>#REF!</formula1>
    </dataValidation>
    <dataValidation type="list" allowBlank="1" sqref="IF3 HY17:IF17 HX31:IF31 HY25:IF29">
      <formula1>#REF!</formula1>
    </dataValidation>
    <dataValidation type="list" errorStyle="warning" errorTitle="Validação" error="Favor preencher conforme a lista!" sqref="HY4:IA4">
      <formula1>#REF!</formula1>
    </dataValidation>
    <dataValidation type="list" allowBlank="1" showInputMessage="1" showErrorMessage="1" sqref="C13:J13">
      <formula1>LINHA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ColWidth="9.140625" defaultRowHeight="15" x14ac:dyDescent="0.2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 x14ac:dyDescent="0.25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 x14ac:dyDescent="0.25">
      <c r="A2" s="23" t="s">
        <v>1056</v>
      </c>
      <c r="B2" s="23" t="s">
        <v>1127</v>
      </c>
      <c r="C2" s="23" t="s">
        <v>1192</v>
      </c>
      <c r="D2" s="23" t="s">
        <v>1232</v>
      </c>
      <c r="E2" s="23" t="s">
        <v>1237</v>
      </c>
      <c r="F2" s="23" t="s">
        <v>1241</v>
      </c>
      <c r="G2" s="23" t="s">
        <v>1254</v>
      </c>
      <c r="H2" s="23">
        <v>1</v>
      </c>
      <c r="I2" s="23" t="s">
        <v>1280</v>
      </c>
      <c r="J2" s="23" t="s">
        <v>504</v>
      </c>
    </row>
    <row r="3" spans="1:12" x14ac:dyDescent="0.25">
      <c r="A3" s="23" t="s">
        <v>1057</v>
      </c>
      <c r="B3" s="23" t="s">
        <v>1128</v>
      </c>
      <c r="C3" s="23" t="s">
        <v>1193</v>
      </c>
      <c r="D3" s="23" t="s">
        <v>1233</v>
      </c>
      <c r="E3" s="23" t="s">
        <v>1238</v>
      </c>
      <c r="F3" s="23" t="s">
        <v>1242</v>
      </c>
      <c r="G3" s="23" t="s">
        <v>1255</v>
      </c>
      <c r="H3" s="23">
        <v>2</v>
      </c>
      <c r="I3" s="23" t="s">
        <v>1281</v>
      </c>
      <c r="J3" s="23" t="s">
        <v>505</v>
      </c>
    </row>
    <row r="4" spans="1:12" x14ac:dyDescent="0.25">
      <c r="A4" s="23" t="s">
        <v>1058</v>
      </c>
      <c r="B4" s="23" t="s">
        <v>1129</v>
      </c>
      <c r="C4" s="23" t="s">
        <v>1194</v>
      </c>
      <c r="D4" s="23" t="s">
        <v>1234</v>
      </c>
      <c r="E4" s="23" t="s">
        <v>1239</v>
      </c>
      <c r="F4" s="23" t="s">
        <v>1243</v>
      </c>
      <c r="G4" s="23" t="s">
        <v>1256</v>
      </c>
      <c r="H4" s="23">
        <v>4</v>
      </c>
      <c r="I4" s="23" t="s">
        <v>1282</v>
      </c>
      <c r="J4" s="23" t="s">
        <v>506</v>
      </c>
    </row>
    <row r="5" spans="1:12" x14ac:dyDescent="0.25">
      <c r="A5" s="23" t="s">
        <v>1059</v>
      </c>
      <c r="B5" s="23" t="s">
        <v>1130</v>
      </c>
      <c r="C5" s="23" t="s">
        <v>1195</v>
      </c>
      <c r="D5" s="23" t="s">
        <v>1235</v>
      </c>
      <c r="E5" s="23" t="s">
        <v>1240</v>
      </c>
      <c r="F5" s="23" t="s">
        <v>1244</v>
      </c>
      <c r="G5" s="23" t="s">
        <v>1257</v>
      </c>
      <c r="H5" s="23">
        <v>8</v>
      </c>
      <c r="I5" s="23" t="s">
        <v>1283</v>
      </c>
      <c r="J5" s="23" t="s">
        <v>446</v>
      </c>
    </row>
    <row r="6" spans="1:12" x14ac:dyDescent="0.25">
      <c r="A6" s="23" t="s">
        <v>1060</v>
      </c>
      <c r="B6" s="23" t="s">
        <v>1131</v>
      </c>
      <c r="C6" s="23" t="s">
        <v>1196</v>
      </c>
      <c r="D6" s="23" t="s">
        <v>1236</v>
      </c>
      <c r="E6" s="23"/>
      <c r="F6" s="23" t="s">
        <v>1245</v>
      </c>
      <c r="G6" s="23" t="s">
        <v>1258</v>
      </c>
      <c r="H6" s="23">
        <v>12</v>
      </c>
      <c r="I6" s="23" t="s">
        <v>442</v>
      </c>
      <c r="J6" s="23"/>
    </row>
    <row r="7" spans="1:12" x14ac:dyDescent="0.25">
      <c r="A7" s="23" t="s">
        <v>1061</v>
      </c>
      <c r="B7" s="23" t="s">
        <v>1132</v>
      </c>
      <c r="C7" s="23" t="s">
        <v>1197</v>
      </c>
      <c r="D7" s="23"/>
      <c r="E7" s="23"/>
      <c r="F7" s="23" t="s">
        <v>1246</v>
      </c>
      <c r="G7" s="23" t="s">
        <v>1259</v>
      </c>
      <c r="H7" s="23">
        <v>16</v>
      </c>
      <c r="I7" s="23" t="s">
        <v>443</v>
      </c>
      <c r="J7" s="23"/>
    </row>
    <row r="8" spans="1:12" x14ac:dyDescent="0.25">
      <c r="A8" s="23" t="s">
        <v>1062</v>
      </c>
      <c r="B8" s="23" t="s">
        <v>1133</v>
      </c>
      <c r="C8" s="23" t="s">
        <v>1198</v>
      </c>
      <c r="D8" s="23"/>
      <c r="E8" s="23"/>
      <c r="F8" s="23" t="s">
        <v>1247</v>
      </c>
      <c r="G8" s="23" t="s">
        <v>1260</v>
      </c>
      <c r="H8" s="23">
        <v>20</v>
      </c>
      <c r="I8" s="23" t="s">
        <v>444</v>
      </c>
      <c r="J8" s="23"/>
    </row>
    <row r="9" spans="1:12" x14ac:dyDescent="0.25">
      <c r="A9" s="23" t="s">
        <v>1063</v>
      </c>
      <c r="B9" s="23" t="s">
        <v>1134</v>
      </c>
      <c r="C9" s="23" t="s">
        <v>1199</v>
      </c>
      <c r="D9" s="23"/>
      <c r="E9" s="23"/>
      <c r="F9" s="23" t="s">
        <v>1248</v>
      </c>
      <c r="G9" s="23" t="s">
        <v>1261</v>
      </c>
      <c r="H9" s="23">
        <v>24</v>
      </c>
      <c r="I9" s="23" t="s">
        <v>445</v>
      </c>
      <c r="J9" s="23"/>
    </row>
    <row r="10" spans="1:12" x14ac:dyDescent="0.25">
      <c r="A10" s="23" t="s">
        <v>1064</v>
      </c>
      <c r="B10" s="23" t="s">
        <v>1135</v>
      </c>
      <c r="C10" s="23" t="s">
        <v>1200</v>
      </c>
      <c r="D10" s="23"/>
      <c r="E10" s="23"/>
      <c r="F10" s="23" t="s">
        <v>1249</v>
      </c>
      <c r="G10" s="23" t="s">
        <v>1262</v>
      </c>
      <c r="H10" s="23">
        <v>28</v>
      </c>
      <c r="I10" s="23"/>
      <c r="J10" s="23"/>
    </row>
    <row r="11" spans="1:12" x14ac:dyDescent="0.25">
      <c r="A11" s="23" t="s">
        <v>1065</v>
      </c>
      <c r="B11" s="23" t="s">
        <v>1136</v>
      </c>
      <c r="C11" s="23" t="s">
        <v>1201</v>
      </c>
      <c r="D11" s="23"/>
      <c r="E11" s="23"/>
      <c r="F11" s="23" t="s">
        <v>1250</v>
      </c>
      <c r="G11" s="23" t="s">
        <v>1263</v>
      </c>
      <c r="H11" s="23">
        <v>32</v>
      </c>
      <c r="I11" s="23"/>
      <c r="J11" s="23"/>
    </row>
    <row r="12" spans="1:12" x14ac:dyDescent="0.25">
      <c r="A12" s="23" t="s">
        <v>1066</v>
      </c>
      <c r="B12" s="23" t="s">
        <v>1137</v>
      </c>
      <c r="C12" s="23" t="s">
        <v>1202</v>
      </c>
      <c r="D12" s="23"/>
      <c r="E12" s="23"/>
      <c r="F12" s="23" t="s">
        <v>1251</v>
      </c>
      <c r="G12" s="23" t="s">
        <v>1264</v>
      </c>
      <c r="H12" s="23">
        <v>36</v>
      </c>
      <c r="I12" s="23"/>
      <c r="J12" s="23"/>
    </row>
    <row r="13" spans="1:12" x14ac:dyDescent="0.25">
      <c r="A13" s="23" t="s">
        <v>1067</v>
      </c>
      <c r="B13" s="23" t="s">
        <v>1138</v>
      </c>
      <c r="C13" s="23" t="s">
        <v>1203</v>
      </c>
      <c r="D13" s="23"/>
      <c r="E13" s="23"/>
      <c r="F13" s="23" t="s">
        <v>1251</v>
      </c>
      <c r="G13" s="23" t="s">
        <v>1265</v>
      </c>
      <c r="H13" s="23">
        <v>40</v>
      </c>
      <c r="I13" s="23"/>
      <c r="J13" s="23"/>
    </row>
    <row r="14" spans="1:12" x14ac:dyDescent="0.25">
      <c r="A14" s="23" t="s">
        <v>1068</v>
      </c>
      <c r="B14" s="23" t="s">
        <v>1139</v>
      </c>
      <c r="C14" s="23" t="s">
        <v>1204</v>
      </c>
      <c r="D14" s="23"/>
      <c r="E14" s="23"/>
      <c r="F14" s="23" t="s">
        <v>1252</v>
      </c>
      <c r="G14" s="23" t="s">
        <v>1266</v>
      </c>
      <c r="H14" s="23">
        <v>44</v>
      </c>
      <c r="I14" s="23"/>
      <c r="J14" s="23"/>
    </row>
    <row r="15" spans="1:12" x14ac:dyDescent="0.25">
      <c r="A15" s="23" t="s">
        <v>1069</v>
      </c>
      <c r="B15" s="23" t="s">
        <v>1140</v>
      </c>
      <c r="C15" s="23" t="s">
        <v>1205</v>
      </c>
      <c r="D15" s="23"/>
      <c r="E15" s="23"/>
      <c r="F15" s="23" t="s">
        <v>1253</v>
      </c>
      <c r="G15" s="23" t="s">
        <v>1267</v>
      </c>
      <c r="H15" s="23">
        <v>48</v>
      </c>
      <c r="I15" s="23"/>
      <c r="J15" s="23"/>
    </row>
    <row r="16" spans="1:12" x14ac:dyDescent="0.25">
      <c r="A16" s="23" t="s">
        <v>1070</v>
      </c>
      <c r="B16" s="23" t="s">
        <v>1141</v>
      </c>
      <c r="C16" s="23" t="s">
        <v>1206</v>
      </c>
      <c r="D16" s="23"/>
      <c r="E16" s="23"/>
      <c r="F16" s="23"/>
      <c r="G16" s="23" t="s">
        <v>1268</v>
      </c>
      <c r="H16" s="23">
        <v>52</v>
      </c>
      <c r="I16" s="23"/>
      <c r="J16" s="23"/>
    </row>
    <row r="17" spans="1:10" x14ac:dyDescent="0.25">
      <c r="A17" s="23" t="s">
        <v>1071</v>
      </c>
      <c r="B17" s="23" t="s">
        <v>1142</v>
      </c>
      <c r="C17" s="23" t="s">
        <v>1207</v>
      </c>
      <c r="D17" s="23"/>
      <c r="E17" s="23"/>
      <c r="F17" s="23"/>
      <c r="G17" s="23" t="s">
        <v>1269</v>
      </c>
      <c r="H17" s="23">
        <v>56</v>
      </c>
      <c r="I17" s="23"/>
      <c r="J17" s="23"/>
    </row>
    <row r="18" spans="1:10" x14ac:dyDescent="0.25">
      <c r="A18" s="23" t="s">
        <v>1072</v>
      </c>
      <c r="B18" s="23" t="s">
        <v>1143</v>
      </c>
      <c r="C18" s="23" t="s">
        <v>1208</v>
      </c>
      <c r="D18" s="23"/>
      <c r="E18" s="23"/>
      <c r="F18" s="23"/>
      <c r="G18" s="23" t="s">
        <v>1270</v>
      </c>
      <c r="H18" s="23">
        <v>60</v>
      </c>
      <c r="I18" s="23"/>
      <c r="J18" s="23"/>
    </row>
    <row r="19" spans="1:10" x14ac:dyDescent="0.25">
      <c r="A19" s="23" t="s">
        <v>1073</v>
      </c>
      <c r="B19" s="23" t="s">
        <v>1144</v>
      </c>
      <c r="C19" s="23" t="s">
        <v>1209</v>
      </c>
      <c r="D19" s="23"/>
      <c r="E19" s="23"/>
      <c r="F19" s="23"/>
      <c r="G19" s="23" t="s">
        <v>1271</v>
      </c>
      <c r="H19" s="23">
        <v>64</v>
      </c>
      <c r="I19" s="23"/>
      <c r="J19" s="23"/>
    </row>
    <row r="20" spans="1:10" x14ac:dyDescent="0.25">
      <c r="A20" s="23" t="s">
        <v>1074</v>
      </c>
      <c r="B20" s="23" t="s">
        <v>1145</v>
      </c>
      <c r="C20" s="24" t="s">
        <v>1210</v>
      </c>
      <c r="D20" s="23"/>
      <c r="E20" s="23"/>
      <c r="F20" s="23"/>
      <c r="G20" s="23" t="s">
        <v>1251</v>
      </c>
      <c r="H20" s="23">
        <v>68</v>
      </c>
      <c r="I20" s="23"/>
      <c r="J20" s="23"/>
    </row>
    <row r="21" spans="1:10" x14ac:dyDescent="0.25">
      <c r="A21" s="23" t="s">
        <v>1075</v>
      </c>
      <c r="B21" s="23" t="s">
        <v>1146</v>
      </c>
      <c r="C21" s="24" t="s">
        <v>1211</v>
      </c>
      <c r="D21" s="23"/>
      <c r="E21" s="23"/>
      <c r="F21" s="23"/>
      <c r="G21" s="23" t="s">
        <v>1272</v>
      </c>
      <c r="H21" s="23">
        <v>72</v>
      </c>
      <c r="I21" s="23"/>
      <c r="J21" s="23"/>
    </row>
    <row r="22" spans="1:10" x14ac:dyDescent="0.25">
      <c r="A22" s="23" t="s">
        <v>1076</v>
      </c>
      <c r="B22" s="24" t="s">
        <v>1147</v>
      </c>
      <c r="C22" s="24" t="s">
        <v>1212</v>
      </c>
      <c r="G22" s="24" t="s">
        <v>1273</v>
      </c>
      <c r="H22" s="24">
        <v>76</v>
      </c>
    </row>
    <row r="23" spans="1:10" x14ac:dyDescent="0.25">
      <c r="A23" s="23" t="s">
        <v>1077</v>
      </c>
      <c r="B23" s="24" t="s">
        <v>1148</v>
      </c>
      <c r="C23" s="24" t="s">
        <v>1213</v>
      </c>
      <c r="G23" s="24" t="s">
        <v>1274</v>
      </c>
      <c r="H23" s="24">
        <v>80</v>
      </c>
    </row>
    <row r="24" spans="1:10" x14ac:dyDescent="0.25">
      <c r="A24" s="23" t="s">
        <v>1078</v>
      </c>
      <c r="B24" s="24" t="s">
        <v>1149</v>
      </c>
      <c r="C24" s="24" t="s">
        <v>1214</v>
      </c>
      <c r="G24" s="24" t="s">
        <v>1275</v>
      </c>
      <c r="H24" s="24">
        <v>84</v>
      </c>
    </row>
    <row r="25" spans="1:10" x14ac:dyDescent="0.25">
      <c r="A25" s="23" t="s">
        <v>1079</v>
      </c>
      <c r="B25" s="24" t="s">
        <v>1150</v>
      </c>
      <c r="C25" s="24" t="s">
        <v>1215</v>
      </c>
      <c r="G25" s="24" t="s">
        <v>1276</v>
      </c>
      <c r="H25" s="24">
        <v>88</v>
      </c>
    </row>
    <row r="26" spans="1:10" x14ac:dyDescent="0.25">
      <c r="A26" s="23" t="s">
        <v>1080</v>
      </c>
      <c r="B26" s="24" t="s">
        <v>1151</v>
      </c>
      <c r="C26" s="24" t="s">
        <v>1216</v>
      </c>
      <c r="G26" s="24" t="s">
        <v>1277</v>
      </c>
      <c r="H26" s="24">
        <v>92</v>
      </c>
    </row>
    <row r="27" spans="1:10" x14ac:dyDescent="0.25">
      <c r="A27" s="23" t="s">
        <v>1081</v>
      </c>
      <c r="B27" s="24" t="s">
        <v>1152</v>
      </c>
      <c r="C27" s="24" t="s">
        <v>1217</v>
      </c>
      <c r="G27" s="24" t="s">
        <v>1278</v>
      </c>
      <c r="H27" s="24">
        <v>96</v>
      </c>
    </row>
    <row r="28" spans="1:10" x14ac:dyDescent="0.25">
      <c r="A28" s="23" t="s">
        <v>1082</v>
      </c>
      <c r="B28" s="24" t="s">
        <v>1153</v>
      </c>
      <c r="C28" s="24" t="s">
        <v>1218</v>
      </c>
      <c r="G28" s="24" t="s">
        <v>1279</v>
      </c>
      <c r="H28" s="24">
        <v>100</v>
      </c>
    </row>
    <row r="29" spans="1:10" x14ac:dyDescent="0.25">
      <c r="A29" s="23" t="s">
        <v>1083</v>
      </c>
      <c r="B29" s="24" t="s">
        <v>1154</v>
      </c>
      <c r="C29" s="24" t="s">
        <v>1219</v>
      </c>
      <c r="G29" s="24" t="s">
        <v>429</v>
      </c>
    </row>
    <row r="30" spans="1:10" x14ac:dyDescent="0.25">
      <c r="A30" s="23" t="s">
        <v>1084</v>
      </c>
      <c r="B30" s="24" t="s">
        <v>1155</v>
      </c>
      <c r="C30" s="24" t="s">
        <v>1220</v>
      </c>
      <c r="G30" s="24" t="s">
        <v>430</v>
      </c>
    </row>
    <row r="31" spans="1:10" x14ac:dyDescent="0.25">
      <c r="A31" s="23" t="s">
        <v>1085</v>
      </c>
      <c r="B31" s="24" t="s">
        <v>1156</v>
      </c>
      <c r="C31" s="23" t="s">
        <v>1221</v>
      </c>
      <c r="G31" s="24" t="s">
        <v>431</v>
      </c>
    </row>
    <row r="32" spans="1:10" x14ac:dyDescent="0.25">
      <c r="A32" s="23" t="s">
        <v>1086</v>
      </c>
      <c r="B32" s="24" t="s">
        <v>1157</v>
      </c>
      <c r="C32" s="23" t="s">
        <v>1222</v>
      </c>
      <c r="G32" s="24" t="s">
        <v>432</v>
      </c>
    </row>
    <row r="33" spans="1:10" x14ac:dyDescent="0.25">
      <c r="A33" s="23" t="s">
        <v>1087</v>
      </c>
      <c r="B33" s="23" t="s">
        <v>1158</v>
      </c>
      <c r="C33" s="23" t="s">
        <v>1223</v>
      </c>
      <c r="D33" s="23"/>
      <c r="E33" s="23"/>
      <c r="F33" s="23"/>
      <c r="G33" s="23" t="s">
        <v>433</v>
      </c>
      <c r="H33" s="23"/>
      <c r="I33" s="23"/>
      <c r="J33" s="23"/>
    </row>
    <row r="34" spans="1:10" x14ac:dyDescent="0.25">
      <c r="A34" s="23" t="s">
        <v>1088</v>
      </c>
      <c r="B34" s="23" t="s">
        <v>1159</v>
      </c>
      <c r="C34" s="23" t="s">
        <v>1224</v>
      </c>
      <c r="D34" s="23"/>
      <c r="E34" s="23"/>
      <c r="F34" s="23"/>
      <c r="G34" s="23" t="s">
        <v>434</v>
      </c>
      <c r="H34" s="23"/>
      <c r="I34" s="23"/>
      <c r="J34" s="23"/>
    </row>
    <row r="35" spans="1:10" x14ac:dyDescent="0.25">
      <c r="A35" s="23" t="s">
        <v>1089</v>
      </c>
      <c r="B35" s="23" t="s">
        <v>1160</v>
      </c>
      <c r="C35" s="23" t="s">
        <v>1225</v>
      </c>
      <c r="D35" s="23"/>
      <c r="E35" s="23"/>
      <c r="F35" s="23"/>
      <c r="G35" s="23" t="s">
        <v>435</v>
      </c>
      <c r="H35" s="23"/>
      <c r="I35" s="23"/>
      <c r="J35" s="23"/>
    </row>
    <row r="36" spans="1:10" x14ac:dyDescent="0.25">
      <c r="A36" s="23" t="s">
        <v>1090</v>
      </c>
      <c r="B36" s="23" t="s">
        <v>1161</v>
      </c>
      <c r="C36" s="23" t="s">
        <v>1226</v>
      </c>
      <c r="D36" s="23"/>
      <c r="E36" s="23"/>
      <c r="F36" s="23"/>
      <c r="G36" s="23" t="s">
        <v>436</v>
      </c>
      <c r="H36" s="23"/>
      <c r="I36" s="23"/>
      <c r="J36" s="23"/>
    </row>
    <row r="37" spans="1:10" x14ac:dyDescent="0.25">
      <c r="A37" s="23" t="s">
        <v>1091</v>
      </c>
      <c r="B37" s="23" t="s">
        <v>1162</v>
      </c>
      <c r="C37" s="23" t="s">
        <v>1227</v>
      </c>
      <c r="D37" s="23"/>
      <c r="E37" s="23"/>
      <c r="F37" s="23"/>
      <c r="G37" s="23" t="s">
        <v>437</v>
      </c>
      <c r="H37" s="23"/>
      <c r="I37" s="23"/>
      <c r="J37" s="23"/>
    </row>
    <row r="38" spans="1:10" x14ac:dyDescent="0.25">
      <c r="A38" s="23" t="s">
        <v>1092</v>
      </c>
      <c r="B38" s="23" t="s">
        <v>1163</v>
      </c>
      <c r="C38" s="23" t="s">
        <v>1228</v>
      </c>
      <c r="D38" s="23"/>
      <c r="E38" s="23"/>
      <c r="F38" s="23"/>
      <c r="G38" s="23" t="s">
        <v>438</v>
      </c>
      <c r="H38" s="23"/>
      <c r="I38" s="23"/>
      <c r="J38" s="23"/>
    </row>
    <row r="39" spans="1:10" x14ac:dyDescent="0.25">
      <c r="A39" s="23" t="s">
        <v>1093</v>
      </c>
      <c r="B39" s="23" t="s">
        <v>1164</v>
      </c>
      <c r="C39" s="23" t="s">
        <v>1229</v>
      </c>
      <c r="D39" s="23"/>
      <c r="E39" s="23"/>
      <c r="F39" s="23"/>
      <c r="G39" s="23" t="s">
        <v>439</v>
      </c>
      <c r="H39" s="23"/>
      <c r="I39" s="23"/>
      <c r="J39" s="23"/>
    </row>
    <row r="40" spans="1:10" x14ac:dyDescent="0.25">
      <c r="A40" s="23" t="s">
        <v>1094</v>
      </c>
      <c r="B40" s="23" t="s">
        <v>1165</v>
      </c>
      <c r="C40" s="23" t="s">
        <v>1230</v>
      </c>
      <c r="D40" s="23"/>
      <c r="E40" s="23"/>
      <c r="F40" s="23"/>
      <c r="G40" s="23" t="s">
        <v>440</v>
      </c>
      <c r="H40" s="23"/>
      <c r="I40" s="23"/>
      <c r="J40" s="23"/>
    </row>
    <row r="41" spans="1:10" x14ac:dyDescent="0.25">
      <c r="A41" s="23" t="s">
        <v>1095</v>
      </c>
      <c r="B41" s="23" t="s">
        <v>1166</v>
      </c>
      <c r="C41" s="23" t="s">
        <v>1231</v>
      </c>
      <c r="D41" s="23"/>
      <c r="E41" s="23"/>
      <c r="F41" s="23"/>
      <c r="G41" s="23" t="s">
        <v>441</v>
      </c>
      <c r="H41" s="23"/>
      <c r="I41" s="23"/>
      <c r="J41" s="23"/>
    </row>
    <row r="42" spans="1:10" x14ac:dyDescent="0.25">
      <c r="A42" s="23" t="s">
        <v>1096</v>
      </c>
      <c r="B42" s="23" t="s">
        <v>1167</v>
      </c>
      <c r="C42" s="23" t="s">
        <v>507</v>
      </c>
      <c r="D42" s="23"/>
      <c r="E42" s="23"/>
      <c r="F42" s="23"/>
      <c r="G42" s="23"/>
      <c r="H42" s="23"/>
      <c r="I42" s="23"/>
      <c r="J42" s="23"/>
    </row>
    <row r="43" spans="1:10" x14ac:dyDescent="0.25">
      <c r="A43" s="23" t="s">
        <v>1097</v>
      </c>
      <c r="B43" s="23" t="s">
        <v>1168</v>
      </c>
      <c r="C43" s="23" t="s">
        <v>418</v>
      </c>
      <c r="D43" s="23"/>
      <c r="E43" s="23"/>
      <c r="F43" s="23"/>
      <c r="G43" s="23"/>
      <c r="H43" s="23"/>
      <c r="I43" s="23"/>
      <c r="J43" s="23"/>
    </row>
    <row r="44" spans="1:10" x14ac:dyDescent="0.25">
      <c r="A44" s="23" t="s">
        <v>1098</v>
      </c>
      <c r="B44" s="23" t="s">
        <v>1169</v>
      </c>
      <c r="C44" s="23" t="s">
        <v>419</v>
      </c>
      <c r="D44" s="23"/>
      <c r="E44" s="23"/>
      <c r="F44" s="23"/>
      <c r="G44" s="23"/>
      <c r="H44" s="23"/>
      <c r="I44" s="23"/>
      <c r="J44" s="23"/>
    </row>
    <row r="45" spans="1:10" x14ac:dyDescent="0.25">
      <c r="A45" s="23" t="s">
        <v>1099</v>
      </c>
      <c r="B45" s="23" t="s">
        <v>1170</v>
      </c>
      <c r="C45" s="23" t="s">
        <v>420</v>
      </c>
      <c r="D45" s="23"/>
      <c r="E45" s="23"/>
      <c r="F45" s="23"/>
      <c r="G45" s="23"/>
      <c r="H45" s="23"/>
      <c r="I45" s="23"/>
      <c r="J45" s="23"/>
    </row>
    <row r="46" spans="1:10" x14ac:dyDescent="0.25">
      <c r="A46" s="23" t="s">
        <v>1100</v>
      </c>
      <c r="B46" s="23" t="s">
        <v>1171</v>
      </c>
      <c r="C46" s="23" t="s">
        <v>421</v>
      </c>
      <c r="D46" s="23"/>
      <c r="E46" s="23"/>
      <c r="F46" s="23"/>
      <c r="G46" s="23"/>
      <c r="H46" s="23"/>
      <c r="I46" s="23"/>
      <c r="J46" s="23"/>
    </row>
    <row r="47" spans="1:10" x14ac:dyDescent="0.25">
      <c r="A47" s="23" t="s">
        <v>1101</v>
      </c>
      <c r="B47" s="23" t="s">
        <v>1172</v>
      </c>
      <c r="C47" s="23" t="s">
        <v>508</v>
      </c>
      <c r="D47" s="23"/>
      <c r="E47" s="23"/>
      <c r="F47" s="23"/>
      <c r="G47" s="23"/>
      <c r="H47" s="23"/>
      <c r="I47" s="23"/>
      <c r="J47" s="23"/>
    </row>
    <row r="48" spans="1:10" x14ac:dyDescent="0.25">
      <c r="A48" s="23" t="s">
        <v>1102</v>
      </c>
      <c r="B48" s="23" t="s">
        <v>1173</v>
      </c>
      <c r="C48" s="23" t="s">
        <v>422</v>
      </c>
      <c r="D48" s="23"/>
      <c r="E48" s="23"/>
      <c r="F48" s="23"/>
      <c r="G48" s="23"/>
      <c r="H48" s="23"/>
      <c r="I48" s="23"/>
      <c r="J48" s="23"/>
    </row>
    <row r="49" spans="1:10" x14ac:dyDescent="0.25">
      <c r="A49" s="23" t="s">
        <v>1103</v>
      </c>
      <c r="B49" s="23" t="s">
        <v>1174</v>
      </c>
      <c r="C49" s="23" t="s">
        <v>1050</v>
      </c>
      <c r="D49" s="23"/>
      <c r="E49" s="23"/>
      <c r="F49" s="23"/>
      <c r="G49" s="23"/>
      <c r="H49" s="23"/>
      <c r="I49" s="23"/>
      <c r="J49" s="23"/>
    </row>
    <row r="50" spans="1:10" x14ac:dyDescent="0.25">
      <c r="A50" s="23" t="s">
        <v>1104</v>
      </c>
      <c r="B50" s="23" t="s">
        <v>1175</v>
      </c>
      <c r="C50" s="23" t="s">
        <v>1051</v>
      </c>
      <c r="D50" s="23"/>
      <c r="E50" s="23"/>
      <c r="F50" s="23"/>
      <c r="G50" s="23"/>
      <c r="H50" s="23"/>
      <c r="I50" s="23"/>
      <c r="J50" s="23"/>
    </row>
    <row r="51" spans="1:10" x14ac:dyDescent="0.25">
      <c r="A51" s="23" t="s">
        <v>1105</v>
      </c>
      <c r="B51" s="23" t="s">
        <v>1176</v>
      </c>
      <c r="C51" s="23" t="s">
        <v>423</v>
      </c>
      <c r="D51" s="23"/>
      <c r="E51" s="23"/>
      <c r="F51" s="23"/>
      <c r="G51" s="23"/>
      <c r="H51" s="23"/>
      <c r="I51" s="23"/>
      <c r="J51" s="23"/>
    </row>
    <row r="52" spans="1:10" x14ac:dyDescent="0.25">
      <c r="A52" s="23" t="s">
        <v>1106</v>
      </c>
      <c r="B52" s="23" t="s">
        <v>1177</v>
      </c>
      <c r="C52" s="23" t="s">
        <v>509</v>
      </c>
      <c r="D52" s="23"/>
      <c r="E52" s="23"/>
      <c r="F52" s="23"/>
      <c r="G52" s="23"/>
      <c r="H52" s="23"/>
      <c r="I52" s="23"/>
      <c r="J52" s="23"/>
    </row>
    <row r="53" spans="1:10" x14ac:dyDescent="0.25">
      <c r="A53" s="23" t="s">
        <v>1107</v>
      </c>
      <c r="B53" s="23" t="s">
        <v>1178</v>
      </c>
      <c r="C53" s="23" t="s">
        <v>510</v>
      </c>
      <c r="D53" s="23"/>
      <c r="E53" s="23"/>
      <c r="F53" s="23"/>
      <c r="G53" s="23"/>
      <c r="H53" s="23"/>
      <c r="I53" s="23"/>
      <c r="J53" s="23"/>
    </row>
    <row r="54" spans="1:10" x14ac:dyDescent="0.25">
      <c r="A54" s="23" t="s">
        <v>1108</v>
      </c>
      <c r="B54" s="23" t="s">
        <v>1179</v>
      </c>
      <c r="C54" s="23" t="s">
        <v>511</v>
      </c>
      <c r="D54" s="23"/>
      <c r="E54" s="23"/>
      <c r="F54" s="23"/>
      <c r="G54" s="23"/>
      <c r="H54" s="23"/>
      <c r="I54" s="23"/>
      <c r="J54" s="23"/>
    </row>
    <row r="55" spans="1:10" x14ac:dyDescent="0.25">
      <c r="A55" s="23" t="s">
        <v>1109</v>
      </c>
      <c r="B55" s="23" t="s">
        <v>1180</v>
      </c>
      <c r="C55" s="24" t="s">
        <v>424</v>
      </c>
      <c r="D55" s="23"/>
      <c r="E55" s="23"/>
      <c r="F55" s="23"/>
      <c r="G55" s="23"/>
      <c r="H55" s="23"/>
      <c r="I55" s="23"/>
      <c r="J55" s="23"/>
    </row>
    <row r="56" spans="1:10" x14ac:dyDescent="0.25">
      <c r="A56" s="23" t="s">
        <v>1110</v>
      </c>
      <c r="B56" s="23" t="s">
        <v>1181</v>
      </c>
      <c r="C56" s="24" t="s">
        <v>512</v>
      </c>
      <c r="D56" s="23"/>
      <c r="E56" s="23"/>
      <c r="F56" s="23"/>
      <c r="G56" s="23"/>
      <c r="H56" s="23"/>
      <c r="I56" s="23"/>
      <c r="J56" s="23"/>
    </row>
    <row r="57" spans="1:10" x14ac:dyDescent="0.25">
      <c r="A57" s="24" t="s">
        <v>1111</v>
      </c>
      <c r="B57" s="24" t="s">
        <v>1182</v>
      </c>
      <c r="C57" s="24" t="s">
        <v>513</v>
      </c>
    </row>
    <row r="58" spans="1:10" x14ac:dyDescent="0.25">
      <c r="A58" s="24" t="s">
        <v>1112</v>
      </c>
      <c r="B58" s="24" t="s">
        <v>1183</v>
      </c>
      <c r="C58" s="24" t="s">
        <v>514</v>
      </c>
    </row>
    <row r="59" spans="1:10" x14ac:dyDescent="0.25">
      <c r="A59" s="24" t="s">
        <v>1113</v>
      </c>
      <c r="B59" s="24" t="s">
        <v>1184</v>
      </c>
      <c r="C59" s="24" t="s">
        <v>515</v>
      </c>
    </row>
    <row r="60" spans="1:10" x14ac:dyDescent="0.25">
      <c r="A60" s="24" t="s">
        <v>1114</v>
      </c>
      <c r="B60" s="24" t="s">
        <v>1185</v>
      </c>
      <c r="C60" s="24" t="s">
        <v>516</v>
      </c>
    </row>
    <row r="61" spans="1:10" x14ac:dyDescent="0.25">
      <c r="A61" s="24" t="s">
        <v>1115</v>
      </c>
      <c r="B61" s="24" t="s">
        <v>1186</v>
      </c>
      <c r="C61" s="24" t="s">
        <v>425</v>
      </c>
    </row>
    <row r="62" spans="1:10" x14ac:dyDescent="0.25">
      <c r="A62" s="24" t="s">
        <v>1116</v>
      </c>
      <c r="B62" s="24" t="s">
        <v>1187</v>
      </c>
      <c r="C62" s="24" t="s">
        <v>426</v>
      </c>
    </row>
    <row r="63" spans="1:10" x14ac:dyDescent="0.25">
      <c r="A63" s="24" t="s">
        <v>1117</v>
      </c>
      <c r="B63" s="24" t="s">
        <v>1188</v>
      </c>
      <c r="C63" s="23" t="s">
        <v>427</v>
      </c>
    </row>
    <row r="64" spans="1:10" x14ac:dyDescent="0.25">
      <c r="A64" s="24" t="s">
        <v>1118</v>
      </c>
      <c r="B64" s="24" t="s">
        <v>1189</v>
      </c>
      <c r="C64" s="23" t="s">
        <v>518</v>
      </c>
    </row>
    <row r="65" spans="1:10" x14ac:dyDescent="0.25">
      <c r="A65" s="23" t="s">
        <v>1119</v>
      </c>
      <c r="B65" s="23" t="s">
        <v>1190</v>
      </c>
      <c r="C65" s="23" t="s">
        <v>519</v>
      </c>
      <c r="D65" s="23"/>
      <c r="E65" s="23"/>
      <c r="F65" s="23"/>
      <c r="G65" s="23"/>
      <c r="H65" s="23"/>
      <c r="I65" s="23"/>
      <c r="J65" s="23"/>
    </row>
    <row r="66" spans="1:10" x14ac:dyDescent="0.25">
      <c r="A66" s="23" t="s">
        <v>1120</v>
      </c>
      <c r="B66" s="23" t="s">
        <v>1191</v>
      </c>
      <c r="C66" s="24" t="s">
        <v>428</v>
      </c>
      <c r="D66" s="23"/>
      <c r="E66" s="23"/>
      <c r="F66" s="23"/>
      <c r="G66" s="23"/>
      <c r="H66" s="23"/>
      <c r="I66" s="23"/>
      <c r="J66" s="23"/>
    </row>
    <row r="67" spans="1:10" x14ac:dyDescent="0.25">
      <c r="A67" s="23" t="s">
        <v>1121</v>
      </c>
      <c r="B67" s="23" t="s">
        <v>413</v>
      </c>
      <c r="D67" s="23"/>
      <c r="E67" s="23"/>
      <c r="F67" s="23"/>
      <c r="G67" s="23"/>
      <c r="H67" s="23"/>
      <c r="I67" s="23"/>
      <c r="J67" s="23"/>
    </row>
    <row r="68" spans="1:10" x14ac:dyDescent="0.25">
      <c r="A68" s="23" t="s">
        <v>1122</v>
      </c>
      <c r="B68" s="23" t="s">
        <v>414</v>
      </c>
      <c r="D68" s="23"/>
      <c r="E68" s="23"/>
      <c r="F68" s="23"/>
      <c r="G68" s="23"/>
      <c r="H68" s="23"/>
      <c r="I68" s="23"/>
      <c r="J68" s="23"/>
    </row>
    <row r="69" spans="1:10" x14ac:dyDescent="0.25">
      <c r="A69" s="24" t="s">
        <v>1123</v>
      </c>
      <c r="B69" s="24" t="s">
        <v>415</v>
      </c>
    </row>
    <row r="70" spans="1:10" x14ac:dyDescent="0.25">
      <c r="A70" s="24" t="s">
        <v>1124</v>
      </c>
      <c r="B70" s="24" t="s">
        <v>416</v>
      </c>
    </row>
    <row r="71" spans="1:10" x14ac:dyDescent="0.25">
      <c r="A71" s="24" t="s">
        <v>1125</v>
      </c>
      <c r="B71" s="24" t="s">
        <v>417</v>
      </c>
    </row>
    <row r="72" spans="1:10" x14ac:dyDescent="0.25">
      <c r="A72" s="24" t="s">
        <v>1126</v>
      </c>
      <c r="B72" s="24" t="s">
        <v>517</v>
      </c>
    </row>
    <row r="73" spans="1:10" x14ac:dyDescent="0.25">
      <c r="A73" s="24" t="s">
        <v>522</v>
      </c>
    </row>
    <row r="74" spans="1:10" x14ac:dyDescent="0.25">
      <c r="A74" s="24" t="s">
        <v>523</v>
      </c>
    </row>
    <row r="75" spans="1:10" x14ac:dyDescent="0.25">
      <c r="A75" s="24" t="s">
        <v>524</v>
      </c>
    </row>
    <row r="76" spans="1:10" x14ac:dyDescent="0.25">
      <c r="A76" s="24" t="s">
        <v>527</v>
      </c>
    </row>
    <row r="77" spans="1:10" x14ac:dyDescent="0.25">
      <c r="A77" s="24" t="s">
        <v>528</v>
      </c>
    </row>
    <row r="78" spans="1:10" x14ac:dyDescent="0.25">
      <c r="A78" s="24" t="s">
        <v>529</v>
      </c>
    </row>
    <row r="79" spans="1:10" x14ac:dyDescent="0.25">
      <c r="A79" s="24" t="s">
        <v>530</v>
      </c>
    </row>
    <row r="80" spans="1:10" x14ac:dyDescent="0.25">
      <c r="A80" s="24" t="s">
        <v>531</v>
      </c>
    </row>
    <row r="81" spans="1:1" x14ac:dyDescent="0.25">
      <c r="A81" s="24" t="s">
        <v>532</v>
      </c>
    </row>
    <row r="82" spans="1:1" x14ac:dyDescent="0.25">
      <c r="A82" s="24" t="s">
        <v>533</v>
      </c>
    </row>
    <row r="83" spans="1:1" x14ac:dyDescent="0.25">
      <c r="A83" s="24" t="s">
        <v>534</v>
      </c>
    </row>
    <row r="84" spans="1:1" x14ac:dyDescent="0.25">
      <c r="A84" s="24" t="s">
        <v>535</v>
      </c>
    </row>
    <row r="85" spans="1:1" x14ac:dyDescent="0.25">
      <c r="A85" s="24" t="s">
        <v>536</v>
      </c>
    </row>
    <row r="86" spans="1:1" x14ac:dyDescent="0.25">
      <c r="A86" s="24" t="s">
        <v>537</v>
      </c>
    </row>
    <row r="87" spans="1:1" x14ac:dyDescent="0.25">
      <c r="A87" s="24" t="s">
        <v>538</v>
      </c>
    </row>
    <row r="88" spans="1:1" x14ac:dyDescent="0.25">
      <c r="A88" s="24" t="s">
        <v>539</v>
      </c>
    </row>
    <row r="89" spans="1:1" x14ac:dyDescent="0.25">
      <c r="A89" s="24" t="s">
        <v>540</v>
      </c>
    </row>
    <row r="90" spans="1:1" x14ac:dyDescent="0.25">
      <c r="A90" s="24" t="s">
        <v>541</v>
      </c>
    </row>
    <row r="91" spans="1:1" x14ac:dyDescent="0.25">
      <c r="A91" s="24" t="s">
        <v>542</v>
      </c>
    </row>
    <row r="92" spans="1:1" x14ac:dyDescent="0.25">
      <c r="A92" s="24" t="s">
        <v>543</v>
      </c>
    </row>
    <row r="93" spans="1:1" x14ac:dyDescent="0.25">
      <c r="A93" s="24" t="s">
        <v>544</v>
      </c>
    </row>
    <row r="94" spans="1:1" x14ac:dyDescent="0.25">
      <c r="A94" s="24" t="s">
        <v>545</v>
      </c>
    </row>
    <row r="95" spans="1:1" x14ac:dyDescent="0.25">
      <c r="A95" s="24" t="s">
        <v>546</v>
      </c>
    </row>
    <row r="96" spans="1:1" x14ac:dyDescent="0.25">
      <c r="A96" s="24" t="s">
        <v>547</v>
      </c>
    </row>
    <row r="97" spans="1:1" x14ac:dyDescent="0.25">
      <c r="A97" s="24" t="s">
        <v>548</v>
      </c>
    </row>
    <row r="98" spans="1:1" x14ac:dyDescent="0.25">
      <c r="A98" s="24" t="s">
        <v>549</v>
      </c>
    </row>
    <row r="99" spans="1:1" x14ac:dyDescent="0.25">
      <c r="A99" s="24" t="s">
        <v>550</v>
      </c>
    </row>
    <row r="100" spans="1:1" x14ac:dyDescent="0.25">
      <c r="A100" s="24" t="s">
        <v>551</v>
      </c>
    </row>
    <row r="101" spans="1:1" x14ac:dyDescent="0.25">
      <c r="A101" s="24" t="s">
        <v>552</v>
      </c>
    </row>
    <row r="102" spans="1:1" x14ac:dyDescent="0.25">
      <c r="A102" s="24" t="s">
        <v>553</v>
      </c>
    </row>
    <row r="103" spans="1:1" x14ac:dyDescent="0.25">
      <c r="A103" s="24" t="s">
        <v>554</v>
      </c>
    </row>
    <row r="104" spans="1:1" x14ac:dyDescent="0.25">
      <c r="A104" s="24" t="s">
        <v>555</v>
      </c>
    </row>
    <row r="105" spans="1:1" x14ac:dyDescent="0.25">
      <c r="A105" s="24" t="s">
        <v>556</v>
      </c>
    </row>
    <row r="106" spans="1:1" x14ac:dyDescent="0.25">
      <c r="A106" s="24" t="s">
        <v>557</v>
      </c>
    </row>
    <row r="107" spans="1:1" x14ac:dyDescent="0.25">
      <c r="A107" s="24" t="s">
        <v>558</v>
      </c>
    </row>
    <row r="108" spans="1:1" x14ac:dyDescent="0.25">
      <c r="A108" s="24" t="s">
        <v>559</v>
      </c>
    </row>
    <row r="109" spans="1:1" x14ac:dyDescent="0.25">
      <c r="A109" s="24" t="s">
        <v>560</v>
      </c>
    </row>
    <row r="110" spans="1:1" x14ac:dyDescent="0.25">
      <c r="A110" s="24" t="s">
        <v>561</v>
      </c>
    </row>
    <row r="111" spans="1:1" x14ac:dyDescent="0.25">
      <c r="A111" s="24" t="s">
        <v>562</v>
      </c>
    </row>
    <row r="112" spans="1:1" x14ac:dyDescent="0.25">
      <c r="A112" s="24" t="s">
        <v>563</v>
      </c>
    </row>
    <row r="113" spans="1:1" x14ac:dyDescent="0.25">
      <c r="A113" s="24" t="s">
        <v>564</v>
      </c>
    </row>
    <row r="114" spans="1:1" x14ac:dyDescent="0.25">
      <c r="A114" s="24" t="s">
        <v>565</v>
      </c>
    </row>
    <row r="115" spans="1:1" x14ac:dyDescent="0.25">
      <c r="A115" s="24" t="s">
        <v>566</v>
      </c>
    </row>
    <row r="116" spans="1:1" x14ac:dyDescent="0.25">
      <c r="A116" s="24" t="s">
        <v>567</v>
      </c>
    </row>
    <row r="117" spans="1:1" x14ac:dyDescent="0.25">
      <c r="A117" s="24" t="s">
        <v>568</v>
      </c>
    </row>
    <row r="118" spans="1:1" x14ac:dyDescent="0.25">
      <c r="A118" s="24" t="s">
        <v>569</v>
      </c>
    </row>
    <row r="119" spans="1:1" x14ac:dyDescent="0.25">
      <c r="A119" s="24" t="s">
        <v>570</v>
      </c>
    </row>
    <row r="120" spans="1:1" x14ac:dyDescent="0.25">
      <c r="A120" s="24" t="s">
        <v>571</v>
      </c>
    </row>
    <row r="121" spans="1:1" x14ac:dyDescent="0.25">
      <c r="A121" s="24" t="s">
        <v>572</v>
      </c>
    </row>
    <row r="122" spans="1:1" x14ac:dyDescent="0.25">
      <c r="A122" s="24" t="s">
        <v>573</v>
      </c>
    </row>
    <row r="123" spans="1:1" x14ac:dyDescent="0.25">
      <c r="A123" s="24" t="s">
        <v>574</v>
      </c>
    </row>
    <row r="124" spans="1:1" x14ac:dyDescent="0.25">
      <c r="A124" s="24" t="s">
        <v>575</v>
      </c>
    </row>
    <row r="125" spans="1:1" x14ac:dyDescent="0.25">
      <c r="A125" s="24" t="s">
        <v>576</v>
      </c>
    </row>
    <row r="126" spans="1:1" x14ac:dyDescent="0.25">
      <c r="A126" s="24" t="s">
        <v>577</v>
      </c>
    </row>
    <row r="127" spans="1:1" x14ac:dyDescent="0.25">
      <c r="A127" s="24" t="s">
        <v>578</v>
      </c>
    </row>
    <row r="128" spans="1:1" x14ac:dyDescent="0.25">
      <c r="A128" s="24" t="s">
        <v>579</v>
      </c>
    </row>
    <row r="129" spans="1:1" x14ac:dyDescent="0.25">
      <c r="A129" s="24" t="s">
        <v>580</v>
      </c>
    </row>
    <row r="130" spans="1:1" x14ac:dyDescent="0.25">
      <c r="A130" s="24" t="s">
        <v>581</v>
      </c>
    </row>
    <row r="131" spans="1:1" x14ac:dyDescent="0.25">
      <c r="A131" s="24" t="s">
        <v>582</v>
      </c>
    </row>
    <row r="132" spans="1:1" x14ac:dyDescent="0.25">
      <c r="A132" s="24" t="s">
        <v>583</v>
      </c>
    </row>
    <row r="133" spans="1:1" x14ac:dyDescent="0.25">
      <c r="A133" s="24" t="s">
        <v>584</v>
      </c>
    </row>
    <row r="134" spans="1:1" x14ac:dyDescent="0.25">
      <c r="A134" s="24" t="s">
        <v>585</v>
      </c>
    </row>
    <row r="135" spans="1:1" x14ac:dyDescent="0.25">
      <c r="A135" s="24" t="s">
        <v>586</v>
      </c>
    </row>
    <row r="136" spans="1:1" x14ac:dyDescent="0.25">
      <c r="A136" s="24" t="s">
        <v>587</v>
      </c>
    </row>
    <row r="137" spans="1:1" x14ac:dyDescent="0.25">
      <c r="A137" s="24" t="s">
        <v>588</v>
      </c>
    </row>
    <row r="138" spans="1:1" x14ac:dyDescent="0.25">
      <c r="A138" s="24" t="s">
        <v>589</v>
      </c>
    </row>
    <row r="139" spans="1:1" x14ac:dyDescent="0.25">
      <c r="A139" s="24" t="s">
        <v>590</v>
      </c>
    </row>
    <row r="140" spans="1:1" x14ac:dyDescent="0.25">
      <c r="A140" s="24" t="s">
        <v>591</v>
      </c>
    </row>
    <row r="141" spans="1:1" x14ac:dyDescent="0.25">
      <c r="A141" s="24" t="s">
        <v>592</v>
      </c>
    </row>
    <row r="142" spans="1:1" x14ac:dyDescent="0.25">
      <c r="A142" s="24" t="s">
        <v>593</v>
      </c>
    </row>
    <row r="143" spans="1:1" x14ac:dyDescent="0.25">
      <c r="A143" s="24" t="s">
        <v>594</v>
      </c>
    </row>
    <row r="144" spans="1:1" x14ac:dyDescent="0.25">
      <c r="A144" s="24" t="s">
        <v>595</v>
      </c>
    </row>
    <row r="145" spans="1:1" x14ac:dyDescent="0.25">
      <c r="A145" s="24" t="s">
        <v>596</v>
      </c>
    </row>
    <row r="146" spans="1:1" x14ac:dyDescent="0.25">
      <c r="A146" s="24" t="s">
        <v>597</v>
      </c>
    </row>
    <row r="147" spans="1:1" x14ac:dyDescent="0.25">
      <c r="A147" s="24" t="s">
        <v>598</v>
      </c>
    </row>
    <row r="148" spans="1:1" x14ac:dyDescent="0.25">
      <c r="A148" s="24" t="s">
        <v>599</v>
      </c>
    </row>
    <row r="149" spans="1:1" x14ac:dyDescent="0.25">
      <c r="A149" s="24" t="s">
        <v>600</v>
      </c>
    </row>
    <row r="150" spans="1:1" x14ac:dyDescent="0.25">
      <c r="A150" s="24" t="s">
        <v>601</v>
      </c>
    </row>
    <row r="151" spans="1:1" x14ac:dyDescent="0.25">
      <c r="A151" s="24" t="s">
        <v>602</v>
      </c>
    </row>
    <row r="152" spans="1:1" x14ac:dyDescent="0.25">
      <c r="A152" s="24" t="s">
        <v>603</v>
      </c>
    </row>
    <row r="153" spans="1:1" x14ac:dyDescent="0.25">
      <c r="A153" s="24" t="s">
        <v>604</v>
      </c>
    </row>
    <row r="154" spans="1:1" x14ac:dyDescent="0.25">
      <c r="A154" s="24" t="s">
        <v>605</v>
      </c>
    </row>
    <row r="155" spans="1:1" x14ac:dyDescent="0.25">
      <c r="A155" s="24" t="s">
        <v>606</v>
      </c>
    </row>
    <row r="156" spans="1:1" x14ac:dyDescent="0.25">
      <c r="A156" s="24" t="s">
        <v>607</v>
      </c>
    </row>
    <row r="157" spans="1:1" x14ac:dyDescent="0.25">
      <c r="A157" s="24" t="s">
        <v>608</v>
      </c>
    </row>
    <row r="158" spans="1:1" x14ac:dyDescent="0.25">
      <c r="A158" s="24" t="s">
        <v>609</v>
      </c>
    </row>
    <row r="159" spans="1:1" x14ac:dyDescent="0.25">
      <c r="A159" s="24" t="s">
        <v>610</v>
      </c>
    </row>
    <row r="160" spans="1:1" x14ac:dyDescent="0.25">
      <c r="A160" s="24" t="s">
        <v>611</v>
      </c>
    </row>
    <row r="161" spans="1:1" x14ac:dyDescent="0.25">
      <c r="A161" s="24" t="s">
        <v>612</v>
      </c>
    </row>
    <row r="162" spans="1:1" x14ac:dyDescent="0.25">
      <c r="A162" s="24" t="s">
        <v>613</v>
      </c>
    </row>
    <row r="163" spans="1:1" x14ac:dyDescent="0.25">
      <c r="A163" s="24" t="s">
        <v>614</v>
      </c>
    </row>
    <row r="164" spans="1:1" x14ac:dyDescent="0.25">
      <c r="A164" s="24" t="s">
        <v>615</v>
      </c>
    </row>
    <row r="165" spans="1:1" x14ac:dyDescent="0.25">
      <c r="A165" s="24" t="s">
        <v>616</v>
      </c>
    </row>
    <row r="166" spans="1:1" x14ac:dyDescent="0.25">
      <c r="A166" s="24" t="s">
        <v>617</v>
      </c>
    </row>
    <row r="167" spans="1:1" x14ac:dyDescent="0.25">
      <c r="A167" s="24" t="s">
        <v>618</v>
      </c>
    </row>
    <row r="168" spans="1:1" x14ac:dyDescent="0.25">
      <c r="A168" s="24" t="s">
        <v>619</v>
      </c>
    </row>
    <row r="169" spans="1:1" x14ac:dyDescent="0.25">
      <c r="A169" s="24" t="s">
        <v>620</v>
      </c>
    </row>
    <row r="170" spans="1:1" x14ac:dyDescent="0.25">
      <c r="A170" s="24" t="s">
        <v>621</v>
      </c>
    </row>
    <row r="171" spans="1:1" x14ac:dyDescent="0.25">
      <c r="A171" s="24" t="s">
        <v>622</v>
      </c>
    </row>
    <row r="172" spans="1:1" x14ac:dyDescent="0.25">
      <c r="A172" s="24" t="s">
        <v>623</v>
      </c>
    </row>
    <row r="173" spans="1:1" x14ac:dyDescent="0.25">
      <c r="A173" s="24" t="s">
        <v>624</v>
      </c>
    </row>
    <row r="174" spans="1:1" x14ac:dyDescent="0.25">
      <c r="A174" s="24" t="s">
        <v>625</v>
      </c>
    </row>
    <row r="175" spans="1:1" x14ac:dyDescent="0.25">
      <c r="A175" s="24" t="s">
        <v>626</v>
      </c>
    </row>
    <row r="176" spans="1:1" x14ac:dyDescent="0.25">
      <c r="A176" s="24" t="s">
        <v>627</v>
      </c>
    </row>
    <row r="177" spans="1:1" x14ac:dyDescent="0.25">
      <c r="A177" s="24" t="s">
        <v>628</v>
      </c>
    </row>
    <row r="178" spans="1:1" x14ac:dyDescent="0.25">
      <c r="A178" s="24" t="s">
        <v>629</v>
      </c>
    </row>
    <row r="179" spans="1:1" x14ac:dyDescent="0.25">
      <c r="A179" s="24" t="s">
        <v>630</v>
      </c>
    </row>
    <row r="180" spans="1:1" x14ac:dyDescent="0.25">
      <c r="A180" s="24" t="s">
        <v>631</v>
      </c>
    </row>
    <row r="181" spans="1:1" x14ac:dyDescent="0.25">
      <c r="A181" s="24" t="s">
        <v>632</v>
      </c>
    </row>
    <row r="182" spans="1:1" x14ac:dyDescent="0.25">
      <c r="A182" s="24" t="s">
        <v>633</v>
      </c>
    </row>
    <row r="183" spans="1:1" x14ac:dyDescent="0.25">
      <c r="A183" s="24" t="s">
        <v>634</v>
      </c>
    </row>
    <row r="184" spans="1:1" x14ac:dyDescent="0.25">
      <c r="A184" s="24" t="s">
        <v>635</v>
      </c>
    </row>
    <row r="185" spans="1:1" x14ac:dyDescent="0.25">
      <c r="A185" s="24" t="s">
        <v>636</v>
      </c>
    </row>
    <row r="186" spans="1:1" x14ac:dyDescent="0.25">
      <c r="A186" s="24" t="s">
        <v>637</v>
      </c>
    </row>
    <row r="187" spans="1:1" x14ac:dyDescent="0.25">
      <c r="A187" s="24" t="s">
        <v>638</v>
      </c>
    </row>
    <row r="188" spans="1:1" x14ac:dyDescent="0.25">
      <c r="A188" s="24" t="s">
        <v>639</v>
      </c>
    </row>
    <row r="189" spans="1:1" x14ac:dyDescent="0.25">
      <c r="A189" s="24" t="s">
        <v>640</v>
      </c>
    </row>
    <row r="190" spans="1:1" x14ac:dyDescent="0.25">
      <c r="A190" s="24" t="s">
        <v>641</v>
      </c>
    </row>
    <row r="191" spans="1:1" x14ac:dyDescent="0.25">
      <c r="A191" s="24" t="s">
        <v>642</v>
      </c>
    </row>
    <row r="192" spans="1:1" x14ac:dyDescent="0.25">
      <c r="A192" s="24" t="s">
        <v>643</v>
      </c>
    </row>
    <row r="193" spans="1:1" x14ac:dyDescent="0.25">
      <c r="A193" s="24" t="s">
        <v>644</v>
      </c>
    </row>
    <row r="194" spans="1:1" x14ac:dyDescent="0.25">
      <c r="A194" s="24" t="s">
        <v>645</v>
      </c>
    </row>
    <row r="195" spans="1:1" x14ac:dyDescent="0.25">
      <c r="A195" s="24" t="s">
        <v>646</v>
      </c>
    </row>
    <row r="196" spans="1:1" x14ac:dyDescent="0.25">
      <c r="A196" s="24" t="s">
        <v>647</v>
      </c>
    </row>
    <row r="197" spans="1:1" x14ac:dyDescent="0.25">
      <c r="A197" s="24" t="s">
        <v>648</v>
      </c>
    </row>
    <row r="198" spans="1:1" x14ac:dyDescent="0.25">
      <c r="A198" s="24" t="s">
        <v>649</v>
      </c>
    </row>
    <row r="199" spans="1:1" x14ac:dyDescent="0.25">
      <c r="A199" s="24" t="s">
        <v>650</v>
      </c>
    </row>
    <row r="200" spans="1:1" x14ac:dyDescent="0.25">
      <c r="A200" s="24" t="s">
        <v>651</v>
      </c>
    </row>
    <row r="201" spans="1:1" x14ac:dyDescent="0.25">
      <c r="A201" s="24" t="s">
        <v>652</v>
      </c>
    </row>
    <row r="202" spans="1:1" x14ac:dyDescent="0.25">
      <c r="A202" s="24" t="s">
        <v>653</v>
      </c>
    </row>
    <row r="203" spans="1:1" x14ac:dyDescent="0.25">
      <c r="A203" s="24" t="s">
        <v>654</v>
      </c>
    </row>
    <row r="204" spans="1:1" x14ac:dyDescent="0.25">
      <c r="A204" s="24" t="s">
        <v>655</v>
      </c>
    </row>
    <row r="205" spans="1:1" x14ac:dyDescent="0.25">
      <c r="A205" s="24" t="s">
        <v>656</v>
      </c>
    </row>
    <row r="206" spans="1:1" x14ac:dyDescent="0.25">
      <c r="A206" s="24" t="s">
        <v>657</v>
      </c>
    </row>
    <row r="207" spans="1:1" x14ac:dyDescent="0.25">
      <c r="A207" s="24" t="s">
        <v>658</v>
      </c>
    </row>
    <row r="208" spans="1:1" x14ac:dyDescent="0.25">
      <c r="A208" s="24" t="s">
        <v>659</v>
      </c>
    </row>
    <row r="209" spans="1:1" x14ac:dyDescent="0.25">
      <c r="A209" s="24" t="s">
        <v>660</v>
      </c>
    </row>
    <row r="210" spans="1:1" x14ac:dyDescent="0.25">
      <c r="A210" s="24" t="s">
        <v>661</v>
      </c>
    </row>
    <row r="211" spans="1:1" x14ac:dyDescent="0.25">
      <c r="A211" s="24" t="s">
        <v>662</v>
      </c>
    </row>
    <row r="212" spans="1:1" x14ac:dyDescent="0.25">
      <c r="A212" s="24" t="s">
        <v>663</v>
      </c>
    </row>
    <row r="213" spans="1:1" x14ac:dyDescent="0.25">
      <c r="A213" s="24" t="s">
        <v>664</v>
      </c>
    </row>
    <row r="214" spans="1:1" x14ac:dyDescent="0.25">
      <c r="A214" s="24" t="s">
        <v>665</v>
      </c>
    </row>
    <row r="215" spans="1:1" x14ac:dyDescent="0.25">
      <c r="A215" s="24" t="s">
        <v>666</v>
      </c>
    </row>
    <row r="216" spans="1:1" x14ac:dyDescent="0.25">
      <c r="A216" s="24" t="s">
        <v>667</v>
      </c>
    </row>
    <row r="217" spans="1:1" x14ac:dyDescent="0.25">
      <c r="A217" s="24" t="s">
        <v>668</v>
      </c>
    </row>
    <row r="218" spans="1:1" x14ac:dyDescent="0.25">
      <c r="A218" s="24" t="s">
        <v>669</v>
      </c>
    </row>
    <row r="219" spans="1:1" x14ac:dyDescent="0.25">
      <c r="A219" s="24" t="s">
        <v>670</v>
      </c>
    </row>
    <row r="220" spans="1:1" x14ac:dyDescent="0.25">
      <c r="A220" s="24" t="s">
        <v>671</v>
      </c>
    </row>
    <row r="221" spans="1:1" x14ac:dyDescent="0.25">
      <c r="A221" s="24" t="s">
        <v>672</v>
      </c>
    </row>
    <row r="222" spans="1:1" x14ac:dyDescent="0.25">
      <c r="A222" s="24" t="s">
        <v>673</v>
      </c>
    </row>
    <row r="223" spans="1:1" x14ac:dyDescent="0.25">
      <c r="A223" s="24" t="s">
        <v>674</v>
      </c>
    </row>
    <row r="224" spans="1:1" x14ac:dyDescent="0.25">
      <c r="A224" s="24" t="s">
        <v>675</v>
      </c>
    </row>
    <row r="225" spans="1:1" x14ac:dyDescent="0.25">
      <c r="A225" s="24" t="s">
        <v>676</v>
      </c>
    </row>
    <row r="226" spans="1:1" x14ac:dyDescent="0.25">
      <c r="A226" s="24" t="s">
        <v>677</v>
      </c>
    </row>
    <row r="227" spans="1:1" x14ac:dyDescent="0.25">
      <c r="A227" s="24" t="s">
        <v>678</v>
      </c>
    </row>
    <row r="228" spans="1:1" x14ac:dyDescent="0.25">
      <c r="A228" s="24" t="s">
        <v>679</v>
      </c>
    </row>
    <row r="229" spans="1:1" x14ac:dyDescent="0.25">
      <c r="A229" s="24" t="s">
        <v>680</v>
      </c>
    </row>
    <row r="230" spans="1:1" x14ac:dyDescent="0.25">
      <c r="A230" s="24" t="s">
        <v>681</v>
      </c>
    </row>
    <row r="231" spans="1:1" x14ac:dyDescent="0.25">
      <c r="A231" s="24" t="s">
        <v>682</v>
      </c>
    </row>
    <row r="232" spans="1:1" x14ac:dyDescent="0.25">
      <c r="A232" s="24" t="s">
        <v>683</v>
      </c>
    </row>
    <row r="233" spans="1:1" x14ac:dyDescent="0.25">
      <c r="A233" s="24" t="s">
        <v>684</v>
      </c>
    </row>
    <row r="234" spans="1:1" x14ac:dyDescent="0.25">
      <c r="A234" s="24" t="s">
        <v>685</v>
      </c>
    </row>
    <row r="235" spans="1:1" x14ac:dyDescent="0.25">
      <c r="A235" s="24" t="s">
        <v>686</v>
      </c>
    </row>
    <row r="236" spans="1:1" x14ac:dyDescent="0.25">
      <c r="A236" s="24" t="s">
        <v>687</v>
      </c>
    </row>
    <row r="237" spans="1:1" x14ac:dyDescent="0.25">
      <c r="A237" s="24" t="s">
        <v>688</v>
      </c>
    </row>
    <row r="238" spans="1:1" x14ac:dyDescent="0.25">
      <c r="A238" s="24" t="s">
        <v>689</v>
      </c>
    </row>
    <row r="239" spans="1:1" x14ac:dyDescent="0.25">
      <c r="A239" s="24" t="s">
        <v>690</v>
      </c>
    </row>
    <row r="240" spans="1:1" x14ac:dyDescent="0.25">
      <c r="A240" s="24" t="s">
        <v>691</v>
      </c>
    </row>
    <row r="241" spans="1:1" x14ac:dyDescent="0.25">
      <c r="A241" s="24" t="s">
        <v>692</v>
      </c>
    </row>
    <row r="242" spans="1:1" x14ac:dyDescent="0.25">
      <c r="A242" s="24" t="s">
        <v>693</v>
      </c>
    </row>
    <row r="243" spans="1:1" x14ac:dyDescent="0.25">
      <c r="A243" s="24" t="s">
        <v>694</v>
      </c>
    </row>
    <row r="244" spans="1:1" x14ac:dyDescent="0.25">
      <c r="A244" s="24" t="s">
        <v>695</v>
      </c>
    </row>
    <row r="245" spans="1:1" x14ac:dyDescent="0.25">
      <c r="A245" s="24" t="s">
        <v>696</v>
      </c>
    </row>
    <row r="246" spans="1:1" x14ac:dyDescent="0.25">
      <c r="A246" s="24" t="s">
        <v>697</v>
      </c>
    </row>
    <row r="247" spans="1:1" x14ac:dyDescent="0.25">
      <c r="A247" s="24" t="s">
        <v>698</v>
      </c>
    </row>
    <row r="248" spans="1:1" x14ac:dyDescent="0.25">
      <c r="A248" s="24" t="s">
        <v>699</v>
      </c>
    </row>
    <row r="249" spans="1:1" x14ac:dyDescent="0.25">
      <c r="A249" s="24" t="s">
        <v>700</v>
      </c>
    </row>
    <row r="250" spans="1:1" x14ac:dyDescent="0.25">
      <c r="A250" s="24" t="s">
        <v>701</v>
      </c>
    </row>
    <row r="251" spans="1:1" x14ac:dyDescent="0.25">
      <c r="A251" s="24" t="s">
        <v>702</v>
      </c>
    </row>
    <row r="252" spans="1:1" x14ac:dyDescent="0.25">
      <c r="A252" s="24" t="s">
        <v>703</v>
      </c>
    </row>
    <row r="253" spans="1:1" x14ac:dyDescent="0.25">
      <c r="A253" s="24" t="s">
        <v>704</v>
      </c>
    </row>
    <row r="254" spans="1:1" x14ac:dyDescent="0.25">
      <c r="A254" s="24" t="s">
        <v>705</v>
      </c>
    </row>
    <row r="255" spans="1:1" x14ac:dyDescent="0.25">
      <c r="A255" s="24" t="s">
        <v>706</v>
      </c>
    </row>
    <row r="256" spans="1:1" x14ac:dyDescent="0.25">
      <c r="A256" s="24" t="s">
        <v>707</v>
      </c>
    </row>
    <row r="257" spans="1:1" x14ac:dyDescent="0.25">
      <c r="A257" s="24" t="s">
        <v>708</v>
      </c>
    </row>
    <row r="258" spans="1:1" x14ac:dyDescent="0.25">
      <c r="A258" s="24" t="s">
        <v>709</v>
      </c>
    </row>
    <row r="259" spans="1:1" x14ac:dyDescent="0.25">
      <c r="A259" s="24" t="s">
        <v>710</v>
      </c>
    </row>
    <row r="260" spans="1:1" x14ac:dyDescent="0.25">
      <c r="A260" s="24" t="s">
        <v>711</v>
      </c>
    </row>
    <row r="261" spans="1:1" x14ac:dyDescent="0.25">
      <c r="A261" s="24" t="s">
        <v>712</v>
      </c>
    </row>
    <row r="262" spans="1:1" x14ac:dyDescent="0.25">
      <c r="A262" s="24" t="s">
        <v>713</v>
      </c>
    </row>
    <row r="263" spans="1:1" x14ac:dyDescent="0.25">
      <c r="A263" s="24" t="s">
        <v>714</v>
      </c>
    </row>
    <row r="264" spans="1:1" x14ac:dyDescent="0.25">
      <c r="A264" s="24" t="s">
        <v>715</v>
      </c>
    </row>
    <row r="265" spans="1:1" x14ac:dyDescent="0.25">
      <c r="A265" s="24" t="s">
        <v>716</v>
      </c>
    </row>
    <row r="266" spans="1:1" x14ac:dyDescent="0.25">
      <c r="A266" s="24" t="s">
        <v>717</v>
      </c>
    </row>
    <row r="267" spans="1:1" x14ac:dyDescent="0.25">
      <c r="A267" s="24" t="s">
        <v>718</v>
      </c>
    </row>
    <row r="268" spans="1:1" x14ac:dyDescent="0.25">
      <c r="A268" s="24" t="s">
        <v>719</v>
      </c>
    </row>
    <row r="269" spans="1:1" x14ac:dyDescent="0.25">
      <c r="A269" s="24" t="s">
        <v>720</v>
      </c>
    </row>
    <row r="270" spans="1:1" x14ac:dyDescent="0.25">
      <c r="A270" s="24" t="s">
        <v>721</v>
      </c>
    </row>
    <row r="271" spans="1:1" x14ac:dyDescent="0.25">
      <c r="A271" s="24" t="s">
        <v>722</v>
      </c>
    </row>
    <row r="272" spans="1:1" x14ac:dyDescent="0.25">
      <c r="A272" s="24" t="s">
        <v>723</v>
      </c>
    </row>
    <row r="273" spans="1:1" x14ac:dyDescent="0.25">
      <c r="A273" s="24" t="s">
        <v>724</v>
      </c>
    </row>
    <row r="274" spans="1:1" x14ac:dyDescent="0.25">
      <c r="A274" s="24" t="s">
        <v>725</v>
      </c>
    </row>
    <row r="275" spans="1:1" x14ac:dyDescent="0.25">
      <c r="A275" s="24" t="s">
        <v>726</v>
      </c>
    </row>
    <row r="276" spans="1:1" x14ac:dyDescent="0.25">
      <c r="A276" s="24" t="s">
        <v>727</v>
      </c>
    </row>
    <row r="277" spans="1:1" x14ac:dyDescent="0.25">
      <c r="A277" s="24" t="s">
        <v>728</v>
      </c>
    </row>
    <row r="278" spans="1:1" x14ac:dyDescent="0.25">
      <c r="A278" s="24" t="s">
        <v>729</v>
      </c>
    </row>
    <row r="279" spans="1:1" x14ac:dyDescent="0.25">
      <c r="A279" s="24" t="s">
        <v>730</v>
      </c>
    </row>
    <row r="280" spans="1:1" x14ac:dyDescent="0.25">
      <c r="A280" s="24" t="s">
        <v>731</v>
      </c>
    </row>
    <row r="281" spans="1:1" x14ac:dyDescent="0.25">
      <c r="A281" s="24" t="s">
        <v>732</v>
      </c>
    </row>
    <row r="282" spans="1:1" x14ac:dyDescent="0.25">
      <c r="A282" s="24" t="s">
        <v>733</v>
      </c>
    </row>
    <row r="283" spans="1:1" x14ac:dyDescent="0.25">
      <c r="A283" s="24" t="s">
        <v>734</v>
      </c>
    </row>
    <row r="284" spans="1:1" x14ac:dyDescent="0.25">
      <c r="A284" s="24" t="s">
        <v>735</v>
      </c>
    </row>
    <row r="285" spans="1:1" x14ac:dyDescent="0.25">
      <c r="A285" s="24" t="s">
        <v>736</v>
      </c>
    </row>
    <row r="286" spans="1:1" x14ac:dyDescent="0.25">
      <c r="A286" s="24" t="s">
        <v>737</v>
      </c>
    </row>
    <row r="287" spans="1:1" x14ac:dyDescent="0.25">
      <c r="A287" s="24" t="s">
        <v>738</v>
      </c>
    </row>
    <row r="288" spans="1:1" x14ac:dyDescent="0.25">
      <c r="A288" s="24" t="s">
        <v>739</v>
      </c>
    </row>
    <row r="289" spans="1:1" x14ac:dyDescent="0.25">
      <c r="A289" s="24" t="s">
        <v>740</v>
      </c>
    </row>
    <row r="290" spans="1:1" x14ac:dyDescent="0.25">
      <c r="A290" s="24" t="s">
        <v>741</v>
      </c>
    </row>
    <row r="291" spans="1:1" x14ac:dyDescent="0.25">
      <c r="A291" s="24" t="s">
        <v>742</v>
      </c>
    </row>
    <row r="292" spans="1:1" x14ac:dyDescent="0.25">
      <c r="A292" s="24" t="s">
        <v>743</v>
      </c>
    </row>
    <row r="293" spans="1:1" x14ac:dyDescent="0.25">
      <c r="A293" s="24" t="s">
        <v>744</v>
      </c>
    </row>
    <row r="294" spans="1:1" x14ac:dyDescent="0.25">
      <c r="A294" s="24" t="s">
        <v>745</v>
      </c>
    </row>
    <row r="295" spans="1:1" x14ac:dyDescent="0.25">
      <c r="A295" s="24" t="s">
        <v>746</v>
      </c>
    </row>
    <row r="296" spans="1:1" x14ac:dyDescent="0.25">
      <c r="A296" s="24" t="s">
        <v>747</v>
      </c>
    </row>
    <row r="297" spans="1:1" x14ac:dyDescent="0.25">
      <c r="A297" s="24" t="s">
        <v>748</v>
      </c>
    </row>
    <row r="298" spans="1:1" x14ac:dyDescent="0.25">
      <c r="A298" s="24" t="s">
        <v>749</v>
      </c>
    </row>
    <row r="299" spans="1:1" x14ac:dyDescent="0.25">
      <c r="A299" s="24" t="s">
        <v>750</v>
      </c>
    </row>
    <row r="300" spans="1:1" x14ac:dyDescent="0.25">
      <c r="A300" s="24" t="s">
        <v>751</v>
      </c>
    </row>
    <row r="301" spans="1:1" x14ac:dyDescent="0.25">
      <c r="A301" s="24" t="s">
        <v>752</v>
      </c>
    </row>
    <row r="302" spans="1:1" x14ac:dyDescent="0.25">
      <c r="A302" s="24" t="s">
        <v>753</v>
      </c>
    </row>
    <row r="303" spans="1:1" x14ac:dyDescent="0.25">
      <c r="A303" s="24" t="s">
        <v>754</v>
      </c>
    </row>
    <row r="304" spans="1:1" x14ac:dyDescent="0.25">
      <c r="A304" s="24" t="s">
        <v>755</v>
      </c>
    </row>
    <row r="305" spans="1:1" x14ac:dyDescent="0.25">
      <c r="A305" s="24" t="s">
        <v>756</v>
      </c>
    </row>
    <row r="306" spans="1:1" x14ac:dyDescent="0.25">
      <c r="A306" s="24" t="s">
        <v>757</v>
      </c>
    </row>
    <row r="307" spans="1:1" x14ac:dyDescent="0.25">
      <c r="A307" s="24" t="s">
        <v>758</v>
      </c>
    </row>
    <row r="308" spans="1:1" x14ac:dyDescent="0.25">
      <c r="A308" s="24" t="s">
        <v>759</v>
      </c>
    </row>
    <row r="309" spans="1:1" x14ac:dyDescent="0.25">
      <c r="A309" s="24" t="s">
        <v>760</v>
      </c>
    </row>
    <row r="310" spans="1:1" x14ac:dyDescent="0.25">
      <c r="A310" s="24" t="s">
        <v>761</v>
      </c>
    </row>
    <row r="311" spans="1:1" x14ac:dyDescent="0.25">
      <c r="A311" s="24" t="s">
        <v>762</v>
      </c>
    </row>
    <row r="312" spans="1:1" x14ac:dyDescent="0.25">
      <c r="A312" s="24" t="s">
        <v>763</v>
      </c>
    </row>
    <row r="313" spans="1:1" x14ac:dyDescent="0.25">
      <c r="A313" s="24" t="s">
        <v>764</v>
      </c>
    </row>
    <row r="314" spans="1:1" x14ac:dyDescent="0.25">
      <c r="A314" s="24" t="s">
        <v>765</v>
      </c>
    </row>
    <row r="315" spans="1:1" x14ac:dyDescent="0.25">
      <c r="A315" s="24" t="s">
        <v>766</v>
      </c>
    </row>
    <row r="316" spans="1:1" x14ac:dyDescent="0.25">
      <c r="A316" s="24" t="s">
        <v>767</v>
      </c>
    </row>
    <row r="317" spans="1:1" x14ac:dyDescent="0.25">
      <c r="A317" s="24" t="s">
        <v>768</v>
      </c>
    </row>
    <row r="318" spans="1:1" x14ac:dyDescent="0.25">
      <c r="A318" s="24" t="s">
        <v>769</v>
      </c>
    </row>
    <row r="319" spans="1:1" x14ac:dyDescent="0.25">
      <c r="A319" s="24" t="s">
        <v>770</v>
      </c>
    </row>
    <row r="320" spans="1:1" x14ac:dyDescent="0.25">
      <c r="A320" s="24" t="s">
        <v>771</v>
      </c>
    </row>
    <row r="321" spans="1:1" x14ac:dyDescent="0.25">
      <c r="A321" s="24" t="s">
        <v>772</v>
      </c>
    </row>
    <row r="322" spans="1:1" x14ac:dyDescent="0.25">
      <c r="A322" s="24" t="s">
        <v>773</v>
      </c>
    </row>
    <row r="323" spans="1:1" x14ac:dyDescent="0.25">
      <c r="A323" s="24" t="s">
        <v>774</v>
      </c>
    </row>
    <row r="324" spans="1:1" x14ac:dyDescent="0.25">
      <c r="A324" s="24" t="s">
        <v>775</v>
      </c>
    </row>
    <row r="325" spans="1:1" x14ac:dyDescent="0.25">
      <c r="A325" s="24" t="s">
        <v>776</v>
      </c>
    </row>
    <row r="326" spans="1:1" x14ac:dyDescent="0.25">
      <c r="A326" s="24" t="s">
        <v>777</v>
      </c>
    </row>
    <row r="327" spans="1:1" x14ac:dyDescent="0.25">
      <c r="A327" s="24" t="s">
        <v>778</v>
      </c>
    </row>
    <row r="328" spans="1:1" x14ac:dyDescent="0.25">
      <c r="A328" s="24" t="s">
        <v>779</v>
      </c>
    </row>
    <row r="329" spans="1:1" x14ac:dyDescent="0.25">
      <c r="A329" s="24" t="s">
        <v>780</v>
      </c>
    </row>
    <row r="330" spans="1:1" x14ac:dyDescent="0.25">
      <c r="A330" s="24" t="s">
        <v>781</v>
      </c>
    </row>
    <row r="331" spans="1:1" x14ac:dyDescent="0.25">
      <c r="A331" s="24" t="s">
        <v>782</v>
      </c>
    </row>
    <row r="332" spans="1:1" x14ac:dyDescent="0.25">
      <c r="A332" s="24" t="s">
        <v>783</v>
      </c>
    </row>
    <row r="333" spans="1:1" x14ac:dyDescent="0.25">
      <c r="A333" s="24" t="s">
        <v>784</v>
      </c>
    </row>
    <row r="334" spans="1:1" x14ac:dyDescent="0.25">
      <c r="A334" s="24" t="s">
        <v>785</v>
      </c>
    </row>
    <row r="335" spans="1:1" x14ac:dyDescent="0.25">
      <c r="A335" s="24" t="s">
        <v>786</v>
      </c>
    </row>
    <row r="336" spans="1:1" x14ac:dyDescent="0.25">
      <c r="A336" s="24" t="s">
        <v>787</v>
      </c>
    </row>
    <row r="337" spans="1:1" x14ac:dyDescent="0.25">
      <c r="A337" s="24" t="s">
        <v>788</v>
      </c>
    </row>
    <row r="338" spans="1:1" x14ac:dyDescent="0.25">
      <c r="A338" s="24" t="s">
        <v>789</v>
      </c>
    </row>
    <row r="339" spans="1:1" x14ac:dyDescent="0.25">
      <c r="A339" s="24" t="s">
        <v>790</v>
      </c>
    </row>
    <row r="340" spans="1:1" x14ac:dyDescent="0.25">
      <c r="A340" s="24" t="s">
        <v>791</v>
      </c>
    </row>
    <row r="341" spans="1:1" x14ac:dyDescent="0.25">
      <c r="A341" s="24" t="s">
        <v>792</v>
      </c>
    </row>
    <row r="342" spans="1:1" x14ac:dyDescent="0.25">
      <c r="A342" s="24" t="s">
        <v>793</v>
      </c>
    </row>
    <row r="343" spans="1:1" x14ac:dyDescent="0.25">
      <c r="A343" s="24" t="s">
        <v>794</v>
      </c>
    </row>
    <row r="344" spans="1:1" x14ac:dyDescent="0.25">
      <c r="A344" s="24" t="s">
        <v>795</v>
      </c>
    </row>
    <row r="345" spans="1:1" x14ac:dyDescent="0.25">
      <c r="A345" s="24" t="s">
        <v>796</v>
      </c>
    </row>
    <row r="346" spans="1:1" x14ac:dyDescent="0.25">
      <c r="A346" s="24" t="s">
        <v>797</v>
      </c>
    </row>
    <row r="347" spans="1:1" x14ac:dyDescent="0.25">
      <c r="A347" s="24" t="s">
        <v>798</v>
      </c>
    </row>
    <row r="348" spans="1:1" x14ac:dyDescent="0.25">
      <c r="A348" s="24" t="s">
        <v>799</v>
      </c>
    </row>
    <row r="349" spans="1:1" x14ac:dyDescent="0.25">
      <c r="A349" s="24" t="s">
        <v>800</v>
      </c>
    </row>
    <row r="350" spans="1:1" x14ac:dyDescent="0.25">
      <c r="A350" s="24" t="s">
        <v>801</v>
      </c>
    </row>
    <row r="351" spans="1:1" x14ac:dyDescent="0.25">
      <c r="A351" s="24" t="s">
        <v>802</v>
      </c>
    </row>
    <row r="352" spans="1:1" x14ac:dyDescent="0.25">
      <c r="A352" s="24" t="s">
        <v>803</v>
      </c>
    </row>
    <row r="353" spans="1:1" x14ac:dyDescent="0.25">
      <c r="A353" s="24" t="s">
        <v>804</v>
      </c>
    </row>
    <row r="354" spans="1:1" x14ac:dyDescent="0.25">
      <c r="A354" s="24" t="s">
        <v>805</v>
      </c>
    </row>
    <row r="355" spans="1:1" x14ac:dyDescent="0.25">
      <c r="A355" s="24" t="s">
        <v>806</v>
      </c>
    </row>
    <row r="356" spans="1:1" x14ac:dyDescent="0.25">
      <c r="A356" s="24" t="s">
        <v>807</v>
      </c>
    </row>
    <row r="357" spans="1:1" x14ac:dyDescent="0.25">
      <c r="A357" s="24" t="s">
        <v>808</v>
      </c>
    </row>
    <row r="358" spans="1:1" x14ac:dyDescent="0.25">
      <c r="A358" s="24" t="s">
        <v>809</v>
      </c>
    </row>
    <row r="359" spans="1:1" x14ac:dyDescent="0.25">
      <c r="A359" s="24" t="s">
        <v>810</v>
      </c>
    </row>
    <row r="360" spans="1:1" x14ac:dyDescent="0.25">
      <c r="A360" s="24" t="s">
        <v>811</v>
      </c>
    </row>
    <row r="361" spans="1:1" x14ac:dyDescent="0.25">
      <c r="A361" s="24" t="s">
        <v>812</v>
      </c>
    </row>
    <row r="362" spans="1:1" x14ac:dyDescent="0.25">
      <c r="A362" s="24" t="s">
        <v>813</v>
      </c>
    </row>
    <row r="363" spans="1:1" x14ac:dyDescent="0.25">
      <c r="A363" s="24" t="s">
        <v>814</v>
      </c>
    </row>
    <row r="364" spans="1:1" x14ac:dyDescent="0.25">
      <c r="A364" s="24" t="s">
        <v>815</v>
      </c>
    </row>
    <row r="365" spans="1:1" x14ac:dyDescent="0.25">
      <c r="A365" s="24" t="s">
        <v>816</v>
      </c>
    </row>
    <row r="366" spans="1:1" x14ac:dyDescent="0.25">
      <c r="A366" s="24" t="s">
        <v>817</v>
      </c>
    </row>
    <row r="367" spans="1:1" x14ac:dyDescent="0.25">
      <c r="A367" s="24" t="s">
        <v>818</v>
      </c>
    </row>
    <row r="368" spans="1:1" x14ac:dyDescent="0.25">
      <c r="A368" s="24" t="s">
        <v>819</v>
      </c>
    </row>
    <row r="369" spans="1:1" x14ac:dyDescent="0.25">
      <c r="A369" s="24" t="s">
        <v>820</v>
      </c>
    </row>
    <row r="370" spans="1:1" x14ac:dyDescent="0.25">
      <c r="A370" s="24" t="s">
        <v>821</v>
      </c>
    </row>
    <row r="371" spans="1:1" x14ac:dyDescent="0.25">
      <c r="A371" s="24" t="s">
        <v>822</v>
      </c>
    </row>
    <row r="372" spans="1:1" x14ac:dyDescent="0.25">
      <c r="A372" s="24" t="s">
        <v>823</v>
      </c>
    </row>
    <row r="373" spans="1:1" x14ac:dyDescent="0.25">
      <c r="A373" s="24" t="s">
        <v>824</v>
      </c>
    </row>
    <row r="374" spans="1:1" x14ac:dyDescent="0.25">
      <c r="A374" s="24" t="s">
        <v>825</v>
      </c>
    </row>
    <row r="375" spans="1:1" x14ac:dyDescent="0.25">
      <c r="A375" s="24" t="s">
        <v>826</v>
      </c>
    </row>
    <row r="376" spans="1:1" x14ac:dyDescent="0.25">
      <c r="A376" s="24" t="s">
        <v>827</v>
      </c>
    </row>
    <row r="377" spans="1:1" x14ac:dyDescent="0.25">
      <c r="A377" s="24" t="s">
        <v>828</v>
      </c>
    </row>
    <row r="378" spans="1:1" x14ac:dyDescent="0.25">
      <c r="A378" s="24" t="s">
        <v>829</v>
      </c>
    </row>
    <row r="379" spans="1:1" x14ac:dyDescent="0.25">
      <c r="A379" s="24" t="s">
        <v>830</v>
      </c>
    </row>
    <row r="380" spans="1:1" x14ac:dyDescent="0.25">
      <c r="A380" s="24" t="s">
        <v>831</v>
      </c>
    </row>
    <row r="381" spans="1:1" x14ac:dyDescent="0.25">
      <c r="A381" s="24" t="s">
        <v>832</v>
      </c>
    </row>
    <row r="382" spans="1:1" x14ac:dyDescent="0.25">
      <c r="A382" s="24" t="s">
        <v>833</v>
      </c>
    </row>
    <row r="383" spans="1:1" x14ac:dyDescent="0.25">
      <c r="A383" s="24" t="s">
        <v>834</v>
      </c>
    </row>
    <row r="384" spans="1:1" x14ac:dyDescent="0.25">
      <c r="A384" s="24" t="s">
        <v>835</v>
      </c>
    </row>
    <row r="385" spans="1:1" x14ac:dyDescent="0.25">
      <c r="A385" s="24" t="s">
        <v>836</v>
      </c>
    </row>
    <row r="386" spans="1:1" x14ac:dyDescent="0.25">
      <c r="A386" s="24" t="s">
        <v>837</v>
      </c>
    </row>
    <row r="387" spans="1:1" x14ac:dyDescent="0.25">
      <c r="A387" s="24" t="s">
        <v>838</v>
      </c>
    </row>
    <row r="388" spans="1:1" x14ac:dyDescent="0.25">
      <c r="A388" s="24" t="s">
        <v>839</v>
      </c>
    </row>
    <row r="389" spans="1:1" x14ac:dyDescent="0.25">
      <c r="A389" s="24" t="s">
        <v>840</v>
      </c>
    </row>
    <row r="390" spans="1:1" x14ac:dyDescent="0.25">
      <c r="A390" s="24" t="s">
        <v>841</v>
      </c>
    </row>
    <row r="391" spans="1:1" x14ac:dyDescent="0.25">
      <c r="A391" s="24" t="s">
        <v>842</v>
      </c>
    </row>
    <row r="392" spans="1:1" x14ac:dyDescent="0.25">
      <c r="A392" s="24" t="s">
        <v>843</v>
      </c>
    </row>
    <row r="393" spans="1:1" x14ac:dyDescent="0.25">
      <c r="A393" s="24" t="s">
        <v>844</v>
      </c>
    </row>
    <row r="394" spans="1:1" x14ac:dyDescent="0.25">
      <c r="A394" s="24" t="s">
        <v>845</v>
      </c>
    </row>
    <row r="395" spans="1:1" x14ac:dyDescent="0.25">
      <c r="A395" s="24" t="s">
        <v>846</v>
      </c>
    </row>
    <row r="396" spans="1:1" x14ac:dyDescent="0.25">
      <c r="A396" s="24" t="s">
        <v>847</v>
      </c>
    </row>
    <row r="397" spans="1:1" x14ac:dyDescent="0.25">
      <c r="A397" s="24" t="s">
        <v>848</v>
      </c>
    </row>
    <row r="398" spans="1:1" x14ac:dyDescent="0.25">
      <c r="A398" s="24" t="s">
        <v>849</v>
      </c>
    </row>
    <row r="399" spans="1:1" x14ac:dyDescent="0.25">
      <c r="A399" s="24" t="s">
        <v>850</v>
      </c>
    </row>
    <row r="400" spans="1:1" x14ac:dyDescent="0.25">
      <c r="A400" s="24" t="s">
        <v>851</v>
      </c>
    </row>
    <row r="401" spans="1:1" x14ac:dyDescent="0.25">
      <c r="A401" s="24" t="s">
        <v>852</v>
      </c>
    </row>
    <row r="402" spans="1:1" x14ac:dyDescent="0.25">
      <c r="A402" s="24" t="s">
        <v>853</v>
      </c>
    </row>
    <row r="403" spans="1:1" x14ac:dyDescent="0.25">
      <c r="A403" s="24" t="s">
        <v>854</v>
      </c>
    </row>
    <row r="404" spans="1:1" x14ac:dyDescent="0.25">
      <c r="A404" s="24" t="s">
        <v>855</v>
      </c>
    </row>
    <row r="405" spans="1:1" x14ac:dyDescent="0.25">
      <c r="A405" s="24" t="s">
        <v>856</v>
      </c>
    </row>
    <row r="406" spans="1:1" x14ac:dyDescent="0.25">
      <c r="A406" s="24" t="s">
        <v>857</v>
      </c>
    </row>
    <row r="407" spans="1:1" x14ac:dyDescent="0.25">
      <c r="A407" s="24" t="s">
        <v>858</v>
      </c>
    </row>
    <row r="408" spans="1:1" x14ac:dyDescent="0.25">
      <c r="A408" s="24" t="s">
        <v>859</v>
      </c>
    </row>
    <row r="409" spans="1:1" x14ac:dyDescent="0.25">
      <c r="A409" s="24" t="s">
        <v>860</v>
      </c>
    </row>
    <row r="410" spans="1:1" x14ac:dyDescent="0.25">
      <c r="A410" s="24" t="s">
        <v>861</v>
      </c>
    </row>
    <row r="411" spans="1:1" x14ac:dyDescent="0.25">
      <c r="A411" s="24" t="s">
        <v>862</v>
      </c>
    </row>
    <row r="412" spans="1:1" x14ac:dyDescent="0.25">
      <c r="A412" s="24" t="s">
        <v>863</v>
      </c>
    </row>
    <row r="413" spans="1:1" x14ac:dyDescent="0.25">
      <c r="A413" s="24" t="s">
        <v>864</v>
      </c>
    </row>
    <row r="414" spans="1:1" x14ac:dyDescent="0.25">
      <c r="A414" s="24" t="s">
        <v>865</v>
      </c>
    </row>
    <row r="415" spans="1:1" x14ac:dyDescent="0.25">
      <c r="A415" s="24" t="s">
        <v>866</v>
      </c>
    </row>
    <row r="416" spans="1:1" x14ac:dyDescent="0.25">
      <c r="A416" s="24" t="s">
        <v>867</v>
      </c>
    </row>
    <row r="417" spans="1:1" x14ac:dyDescent="0.25">
      <c r="A417" s="24" t="s">
        <v>868</v>
      </c>
    </row>
    <row r="418" spans="1:1" x14ac:dyDescent="0.25">
      <c r="A418" s="24" t="s">
        <v>869</v>
      </c>
    </row>
    <row r="419" spans="1:1" x14ac:dyDescent="0.25">
      <c r="A419" s="24" t="s">
        <v>870</v>
      </c>
    </row>
    <row r="420" spans="1:1" x14ac:dyDescent="0.25">
      <c r="A420" s="24" t="s">
        <v>871</v>
      </c>
    </row>
    <row r="421" spans="1:1" x14ac:dyDescent="0.25">
      <c r="A421" s="24" t="s">
        <v>872</v>
      </c>
    </row>
    <row r="422" spans="1:1" x14ac:dyDescent="0.25">
      <c r="A422" s="24" t="s">
        <v>873</v>
      </c>
    </row>
    <row r="423" spans="1:1" x14ac:dyDescent="0.25">
      <c r="A423" s="24" t="s">
        <v>874</v>
      </c>
    </row>
    <row r="424" spans="1:1" x14ac:dyDescent="0.25">
      <c r="A424" s="24" t="s">
        <v>875</v>
      </c>
    </row>
    <row r="425" spans="1:1" x14ac:dyDescent="0.25">
      <c r="A425" s="24" t="s">
        <v>876</v>
      </c>
    </row>
    <row r="426" spans="1:1" x14ac:dyDescent="0.25">
      <c r="A426" s="24" t="s">
        <v>877</v>
      </c>
    </row>
    <row r="427" spans="1:1" x14ac:dyDescent="0.25">
      <c r="A427" s="24" t="s">
        <v>878</v>
      </c>
    </row>
    <row r="428" spans="1:1" x14ac:dyDescent="0.25">
      <c r="A428" s="24" t="s">
        <v>879</v>
      </c>
    </row>
    <row r="429" spans="1:1" x14ac:dyDescent="0.25">
      <c r="A429" s="24" t="s">
        <v>880</v>
      </c>
    </row>
    <row r="430" spans="1:1" x14ac:dyDescent="0.25">
      <c r="A430" s="24" t="s">
        <v>881</v>
      </c>
    </row>
    <row r="431" spans="1:1" x14ac:dyDescent="0.25">
      <c r="A431" s="24" t="s">
        <v>882</v>
      </c>
    </row>
    <row r="432" spans="1:1" x14ac:dyDescent="0.25">
      <c r="A432" s="24" t="s">
        <v>883</v>
      </c>
    </row>
    <row r="433" spans="1:1" x14ac:dyDescent="0.25">
      <c r="A433" s="24" t="s">
        <v>884</v>
      </c>
    </row>
    <row r="434" spans="1:1" x14ac:dyDescent="0.25">
      <c r="A434" s="24" t="s">
        <v>885</v>
      </c>
    </row>
    <row r="435" spans="1:1" x14ac:dyDescent="0.25">
      <c r="A435" s="24" t="s">
        <v>886</v>
      </c>
    </row>
    <row r="436" spans="1:1" x14ac:dyDescent="0.25">
      <c r="A436" s="24" t="s">
        <v>887</v>
      </c>
    </row>
    <row r="437" spans="1:1" x14ac:dyDescent="0.25">
      <c r="A437" s="24" t="s">
        <v>888</v>
      </c>
    </row>
    <row r="438" spans="1:1" x14ac:dyDescent="0.25">
      <c r="A438" s="24" t="s">
        <v>889</v>
      </c>
    </row>
    <row r="439" spans="1:1" x14ac:dyDescent="0.25">
      <c r="A439" s="24" t="s">
        <v>890</v>
      </c>
    </row>
    <row r="440" spans="1:1" x14ac:dyDescent="0.25">
      <c r="A440" s="24" t="s">
        <v>891</v>
      </c>
    </row>
    <row r="441" spans="1:1" x14ac:dyDescent="0.25">
      <c r="A441" s="24" t="s">
        <v>892</v>
      </c>
    </row>
    <row r="442" spans="1:1" x14ac:dyDescent="0.25">
      <c r="A442" s="24" t="s">
        <v>893</v>
      </c>
    </row>
    <row r="443" spans="1:1" x14ac:dyDescent="0.25">
      <c r="A443" s="24" t="s">
        <v>894</v>
      </c>
    </row>
    <row r="444" spans="1:1" x14ac:dyDescent="0.25">
      <c r="A444" s="24" t="s">
        <v>895</v>
      </c>
    </row>
    <row r="445" spans="1:1" x14ac:dyDescent="0.25">
      <c r="A445" s="24" t="s">
        <v>0</v>
      </c>
    </row>
    <row r="446" spans="1:1" x14ac:dyDescent="0.25">
      <c r="A446" s="24" t="s">
        <v>1</v>
      </c>
    </row>
    <row r="447" spans="1:1" x14ac:dyDescent="0.25">
      <c r="A447" s="24" t="s">
        <v>2</v>
      </c>
    </row>
    <row r="448" spans="1:1" x14ac:dyDescent="0.25">
      <c r="A448" s="24" t="s">
        <v>3</v>
      </c>
    </row>
    <row r="449" spans="1:1" x14ac:dyDescent="0.25">
      <c r="A449" s="24" t="s">
        <v>4</v>
      </c>
    </row>
    <row r="450" spans="1:1" x14ac:dyDescent="0.25">
      <c r="A450" s="24" t="s">
        <v>5</v>
      </c>
    </row>
    <row r="451" spans="1:1" x14ac:dyDescent="0.25">
      <c r="A451" s="24" t="s">
        <v>6</v>
      </c>
    </row>
    <row r="452" spans="1:1" x14ac:dyDescent="0.25">
      <c r="A452" s="24" t="s">
        <v>7</v>
      </c>
    </row>
    <row r="453" spans="1:1" x14ac:dyDescent="0.25">
      <c r="A453" s="24" t="s">
        <v>8</v>
      </c>
    </row>
    <row r="454" spans="1:1" x14ac:dyDescent="0.25">
      <c r="A454" s="24" t="s">
        <v>9</v>
      </c>
    </row>
    <row r="455" spans="1:1" x14ac:dyDescent="0.25">
      <c r="A455" s="24" t="s">
        <v>10</v>
      </c>
    </row>
    <row r="456" spans="1:1" x14ac:dyDescent="0.25">
      <c r="A456" s="24" t="s">
        <v>11</v>
      </c>
    </row>
    <row r="457" spans="1:1" x14ac:dyDescent="0.25">
      <c r="A457" s="24" t="s">
        <v>12</v>
      </c>
    </row>
    <row r="458" spans="1:1" x14ac:dyDescent="0.25">
      <c r="A458" s="24" t="s">
        <v>13</v>
      </c>
    </row>
    <row r="459" spans="1:1" x14ac:dyDescent="0.25">
      <c r="A459" s="24" t="s">
        <v>14</v>
      </c>
    </row>
    <row r="460" spans="1:1" x14ac:dyDescent="0.25">
      <c r="A460" s="24" t="s">
        <v>15</v>
      </c>
    </row>
    <row r="461" spans="1:1" x14ac:dyDescent="0.25">
      <c r="A461" s="24" t="s">
        <v>16</v>
      </c>
    </row>
    <row r="462" spans="1:1" x14ac:dyDescent="0.25">
      <c r="A462" s="24" t="s">
        <v>17</v>
      </c>
    </row>
    <row r="463" spans="1:1" x14ac:dyDescent="0.25">
      <c r="A463" s="24" t="s">
        <v>18</v>
      </c>
    </row>
    <row r="464" spans="1:1" x14ac:dyDescent="0.25">
      <c r="A464" s="24" t="s">
        <v>19</v>
      </c>
    </row>
    <row r="465" spans="1:1" x14ac:dyDescent="0.25">
      <c r="A465" s="24" t="s">
        <v>20</v>
      </c>
    </row>
    <row r="466" spans="1:1" x14ac:dyDescent="0.25">
      <c r="A466" s="24" t="s">
        <v>21</v>
      </c>
    </row>
    <row r="467" spans="1:1" x14ac:dyDescent="0.25">
      <c r="A467" s="24" t="s">
        <v>22</v>
      </c>
    </row>
    <row r="468" spans="1:1" x14ac:dyDescent="0.25">
      <c r="A468" s="24" t="s">
        <v>23</v>
      </c>
    </row>
    <row r="469" spans="1:1" x14ac:dyDescent="0.25">
      <c r="A469" s="24" t="s">
        <v>24</v>
      </c>
    </row>
    <row r="470" spans="1:1" x14ac:dyDescent="0.25">
      <c r="A470" s="24" t="s">
        <v>25</v>
      </c>
    </row>
    <row r="471" spans="1:1" x14ac:dyDescent="0.25">
      <c r="A471" s="24" t="s">
        <v>26</v>
      </c>
    </row>
    <row r="472" spans="1:1" x14ac:dyDescent="0.25">
      <c r="A472" s="24" t="s">
        <v>27</v>
      </c>
    </row>
    <row r="473" spans="1:1" x14ac:dyDescent="0.25">
      <c r="A473" s="24" t="s">
        <v>28</v>
      </c>
    </row>
    <row r="474" spans="1:1" x14ac:dyDescent="0.25">
      <c r="A474" s="24" t="s">
        <v>29</v>
      </c>
    </row>
    <row r="475" spans="1:1" x14ac:dyDescent="0.25">
      <c r="A475" s="24" t="s">
        <v>30</v>
      </c>
    </row>
    <row r="476" spans="1:1" x14ac:dyDescent="0.25">
      <c r="A476" s="24" t="s">
        <v>31</v>
      </c>
    </row>
    <row r="477" spans="1:1" x14ac:dyDescent="0.25">
      <c r="A477" s="24" t="s">
        <v>32</v>
      </c>
    </row>
    <row r="478" spans="1:1" x14ac:dyDescent="0.25">
      <c r="A478" s="24" t="s">
        <v>33</v>
      </c>
    </row>
    <row r="479" spans="1:1" x14ac:dyDescent="0.25">
      <c r="A479" s="24" t="s">
        <v>34</v>
      </c>
    </row>
    <row r="480" spans="1:1" x14ac:dyDescent="0.25">
      <c r="A480" s="24" t="s">
        <v>35</v>
      </c>
    </row>
    <row r="481" spans="1:1" x14ac:dyDescent="0.25">
      <c r="A481" s="24" t="s">
        <v>36</v>
      </c>
    </row>
    <row r="482" spans="1:1" x14ac:dyDescent="0.25">
      <c r="A482" s="24" t="s">
        <v>37</v>
      </c>
    </row>
    <row r="483" spans="1:1" x14ac:dyDescent="0.25">
      <c r="A483" s="24" t="s">
        <v>38</v>
      </c>
    </row>
    <row r="484" spans="1:1" x14ac:dyDescent="0.25">
      <c r="A484" s="24" t="s">
        <v>39</v>
      </c>
    </row>
    <row r="485" spans="1:1" x14ac:dyDescent="0.25">
      <c r="A485" s="24" t="s">
        <v>40</v>
      </c>
    </row>
    <row r="486" spans="1:1" x14ac:dyDescent="0.25">
      <c r="A486" s="24" t="s">
        <v>41</v>
      </c>
    </row>
    <row r="487" spans="1:1" x14ac:dyDescent="0.25">
      <c r="A487" s="24" t="s">
        <v>42</v>
      </c>
    </row>
    <row r="488" spans="1:1" x14ac:dyDescent="0.25">
      <c r="A488" s="24" t="s">
        <v>43</v>
      </c>
    </row>
    <row r="489" spans="1:1" x14ac:dyDescent="0.25">
      <c r="A489" s="24" t="s">
        <v>44</v>
      </c>
    </row>
    <row r="490" spans="1:1" x14ac:dyDescent="0.25">
      <c r="A490" s="24" t="s">
        <v>45</v>
      </c>
    </row>
    <row r="491" spans="1:1" x14ac:dyDescent="0.25">
      <c r="A491" s="24" t="s">
        <v>46</v>
      </c>
    </row>
    <row r="492" spans="1:1" x14ac:dyDescent="0.25">
      <c r="A492" s="24" t="s">
        <v>47</v>
      </c>
    </row>
    <row r="493" spans="1:1" x14ac:dyDescent="0.25">
      <c r="A493" s="24" t="s">
        <v>48</v>
      </c>
    </row>
    <row r="494" spans="1:1" x14ac:dyDescent="0.25">
      <c r="A494" s="24" t="s">
        <v>49</v>
      </c>
    </row>
    <row r="495" spans="1:1" x14ac:dyDescent="0.25">
      <c r="A495" s="24" t="s">
        <v>50</v>
      </c>
    </row>
    <row r="496" spans="1:1" x14ac:dyDescent="0.25">
      <c r="A496" s="24" t="s">
        <v>51</v>
      </c>
    </row>
    <row r="497" spans="1:1" x14ac:dyDescent="0.25">
      <c r="A497" s="24" t="s">
        <v>52</v>
      </c>
    </row>
    <row r="498" spans="1:1" x14ac:dyDescent="0.25">
      <c r="A498" s="24" t="s">
        <v>53</v>
      </c>
    </row>
    <row r="499" spans="1:1" x14ac:dyDescent="0.25">
      <c r="A499" s="24" t="s">
        <v>54</v>
      </c>
    </row>
    <row r="500" spans="1:1" x14ac:dyDescent="0.25">
      <c r="A500" s="24" t="s">
        <v>55</v>
      </c>
    </row>
    <row r="501" spans="1:1" x14ac:dyDescent="0.25">
      <c r="A501" s="24" t="s">
        <v>56</v>
      </c>
    </row>
    <row r="502" spans="1:1" x14ac:dyDescent="0.25">
      <c r="A502" s="24" t="s">
        <v>57</v>
      </c>
    </row>
    <row r="503" spans="1:1" x14ac:dyDescent="0.25">
      <c r="A503" s="24" t="s">
        <v>58</v>
      </c>
    </row>
    <row r="504" spans="1:1" x14ac:dyDescent="0.25">
      <c r="A504" s="24" t="s">
        <v>59</v>
      </c>
    </row>
    <row r="505" spans="1:1" x14ac:dyDescent="0.25">
      <c r="A505" s="24" t="s">
        <v>60</v>
      </c>
    </row>
    <row r="506" spans="1:1" x14ac:dyDescent="0.25">
      <c r="A506" s="24" t="s">
        <v>61</v>
      </c>
    </row>
    <row r="507" spans="1:1" x14ac:dyDescent="0.25">
      <c r="A507" s="24" t="s">
        <v>62</v>
      </c>
    </row>
    <row r="508" spans="1:1" x14ac:dyDescent="0.25">
      <c r="A508" s="24" t="s">
        <v>63</v>
      </c>
    </row>
    <row r="509" spans="1:1" x14ac:dyDescent="0.25">
      <c r="A509" s="24" t="s">
        <v>64</v>
      </c>
    </row>
    <row r="510" spans="1:1" x14ac:dyDescent="0.25">
      <c r="A510" s="24" t="s">
        <v>65</v>
      </c>
    </row>
    <row r="511" spans="1:1" x14ac:dyDescent="0.25">
      <c r="A511" s="24" t="s">
        <v>66</v>
      </c>
    </row>
    <row r="512" spans="1:1" x14ac:dyDescent="0.25">
      <c r="A512" s="24" t="s">
        <v>67</v>
      </c>
    </row>
    <row r="513" spans="1:1" x14ac:dyDescent="0.25">
      <c r="A513" s="24" t="s">
        <v>68</v>
      </c>
    </row>
    <row r="514" spans="1:1" x14ac:dyDescent="0.25">
      <c r="A514" s="24" t="s">
        <v>69</v>
      </c>
    </row>
    <row r="515" spans="1:1" x14ac:dyDescent="0.25">
      <c r="A515" s="24" t="s">
        <v>70</v>
      </c>
    </row>
    <row r="516" spans="1:1" x14ac:dyDescent="0.25">
      <c r="A516" s="24" t="s">
        <v>71</v>
      </c>
    </row>
    <row r="517" spans="1:1" x14ac:dyDescent="0.25">
      <c r="A517" s="24" t="s">
        <v>72</v>
      </c>
    </row>
    <row r="518" spans="1:1" x14ac:dyDescent="0.25">
      <c r="A518" s="24" t="s">
        <v>73</v>
      </c>
    </row>
    <row r="519" spans="1:1" x14ac:dyDescent="0.25">
      <c r="A519" s="24" t="s">
        <v>74</v>
      </c>
    </row>
    <row r="520" spans="1:1" x14ac:dyDescent="0.25">
      <c r="A520" s="24" t="s">
        <v>75</v>
      </c>
    </row>
    <row r="521" spans="1:1" x14ac:dyDescent="0.25">
      <c r="A521" s="24" t="s">
        <v>76</v>
      </c>
    </row>
    <row r="522" spans="1:1" x14ac:dyDescent="0.25">
      <c r="A522" s="24" t="s">
        <v>77</v>
      </c>
    </row>
    <row r="523" spans="1:1" x14ac:dyDescent="0.25">
      <c r="A523" s="24" t="s">
        <v>78</v>
      </c>
    </row>
    <row r="524" spans="1:1" x14ac:dyDescent="0.25">
      <c r="A524" s="24" t="s">
        <v>79</v>
      </c>
    </row>
    <row r="525" spans="1:1" x14ac:dyDescent="0.25">
      <c r="A525" s="24" t="s">
        <v>80</v>
      </c>
    </row>
    <row r="526" spans="1:1" x14ac:dyDescent="0.25">
      <c r="A526" s="24" t="s">
        <v>81</v>
      </c>
    </row>
    <row r="527" spans="1:1" x14ac:dyDescent="0.25">
      <c r="A527" s="24" t="s">
        <v>82</v>
      </c>
    </row>
    <row r="528" spans="1:1" x14ac:dyDescent="0.25">
      <c r="A528" s="24" t="s">
        <v>83</v>
      </c>
    </row>
    <row r="529" spans="1:1" x14ac:dyDescent="0.25">
      <c r="A529" s="24" t="s">
        <v>84</v>
      </c>
    </row>
    <row r="530" spans="1:1" x14ac:dyDescent="0.25">
      <c r="A530" s="24" t="s">
        <v>85</v>
      </c>
    </row>
    <row r="531" spans="1:1" x14ac:dyDescent="0.25">
      <c r="A531" s="24" t="s">
        <v>86</v>
      </c>
    </row>
    <row r="532" spans="1:1" x14ac:dyDescent="0.25">
      <c r="A532" s="24" t="s">
        <v>87</v>
      </c>
    </row>
    <row r="533" spans="1:1" x14ac:dyDescent="0.25">
      <c r="A533" s="24" t="s">
        <v>88</v>
      </c>
    </row>
    <row r="534" spans="1:1" x14ac:dyDescent="0.25">
      <c r="A534" s="24" t="s">
        <v>89</v>
      </c>
    </row>
    <row r="535" spans="1:1" x14ac:dyDescent="0.25">
      <c r="A535" s="24" t="s">
        <v>90</v>
      </c>
    </row>
    <row r="536" spans="1:1" x14ac:dyDescent="0.25">
      <c r="A536" s="24" t="s">
        <v>91</v>
      </c>
    </row>
    <row r="537" spans="1:1" x14ac:dyDescent="0.25">
      <c r="A537" s="24" t="s">
        <v>92</v>
      </c>
    </row>
    <row r="538" spans="1:1" x14ac:dyDescent="0.25">
      <c r="A538" s="24" t="s">
        <v>93</v>
      </c>
    </row>
    <row r="539" spans="1:1" x14ac:dyDescent="0.25">
      <c r="A539" s="24" t="s">
        <v>94</v>
      </c>
    </row>
    <row r="540" spans="1:1" x14ac:dyDescent="0.25">
      <c r="A540" s="24" t="s">
        <v>95</v>
      </c>
    </row>
    <row r="541" spans="1:1" x14ac:dyDescent="0.25">
      <c r="A541" s="24" t="s">
        <v>96</v>
      </c>
    </row>
    <row r="542" spans="1:1" x14ac:dyDescent="0.25">
      <c r="A542" s="24" t="s">
        <v>97</v>
      </c>
    </row>
    <row r="543" spans="1:1" x14ac:dyDescent="0.25">
      <c r="A543" s="24" t="s">
        <v>98</v>
      </c>
    </row>
    <row r="544" spans="1:1" x14ac:dyDescent="0.25">
      <c r="A544" s="24" t="s">
        <v>99</v>
      </c>
    </row>
    <row r="545" spans="1:1" x14ac:dyDescent="0.25">
      <c r="A545" s="24" t="s">
        <v>100</v>
      </c>
    </row>
    <row r="546" spans="1:1" x14ac:dyDescent="0.25">
      <c r="A546" s="24" t="s">
        <v>101</v>
      </c>
    </row>
    <row r="547" spans="1:1" x14ac:dyDescent="0.25">
      <c r="A547" s="24" t="s">
        <v>102</v>
      </c>
    </row>
    <row r="548" spans="1:1" x14ac:dyDescent="0.25">
      <c r="A548" s="24" t="s">
        <v>103</v>
      </c>
    </row>
    <row r="549" spans="1:1" x14ac:dyDescent="0.25">
      <c r="A549" s="24" t="s">
        <v>104</v>
      </c>
    </row>
    <row r="550" spans="1:1" x14ac:dyDescent="0.25">
      <c r="A550" s="24" t="s">
        <v>105</v>
      </c>
    </row>
    <row r="551" spans="1:1" x14ac:dyDescent="0.25">
      <c r="A551" s="24" t="s">
        <v>106</v>
      </c>
    </row>
    <row r="552" spans="1:1" x14ac:dyDescent="0.25">
      <c r="A552" s="24" t="s">
        <v>107</v>
      </c>
    </row>
    <row r="553" spans="1:1" x14ac:dyDescent="0.25">
      <c r="A553" s="24" t="s">
        <v>108</v>
      </c>
    </row>
    <row r="554" spans="1:1" x14ac:dyDescent="0.25">
      <c r="A554" s="24" t="s">
        <v>109</v>
      </c>
    </row>
    <row r="555" spans="1:1" x14ac:dyDescent="0.25">
      <c r="A555" s="24" t="s">
        <v>110</v>
      </c>
    </row>
    <row r="556" spans="1:1" x14ac:dyDescent="0.25">
      <c r="A556" s="24" t="s">
        <v>111</v>
      </c>
    </row>
    <row r="557" spans="1:1" x14ac:dyDescent="0.25">
      <c r="A557" s="24" t="s">
        <v>112</v>
      </c>
    </row>
    <row r="558" spans="1:1" x14ac:dyDescent="0.25">
      <c r="A558" s="24" t="s">
        <v>113</v>
      </c>
    </row>
    <row r="559" spans="1:1" x14ac:dyDescent="0.25">
      <c r="A559" s="24" t="s">
        <v>114</v>
      </c>
    </row>
    <row r="560" spans="1:1" x14ac:dyDescent="0.25">
      <c r="A560" s="24" t="s">
        <v>115</v>
      </c>
    </row>
    <row r="561" spans="1:1" x14ac:dyDescent="0.25">
      <c r="A561" s="24" t="s">
        <v>116</v>
      </c>
    </row>
    <row r="562" spans="1:1" x14ac:dyDescent="0.25">
      <c r="A562" s="24" t="s">
        <v>117</v>
      </c>
    </row>
    <row r="563" spans="1:1" x14ac:dyDescent="0.25">
      <c r="A563" s="24" t="s">
        <v>118</v>
      </c>
    </row>
    <row r="564" spans="1:1" x14ac:dyDescent="0.25">
      <c r="A564" s="24" t="s">
        <v>119</v>
      </c>
    </row>
    <row r="565" spans="1:1" x14ac:dyDescent="0.25">
      <c r="A565" s="24" t="s">
        <v>120</v>
      </c>
    </row>
    <row r="566" spans="1:1" x14ac:dyDescent="0.25">
      <c r="A566" s="24" t="s">
        <v>121</v>
      </c>
    </row>
    <row r="567" spans="1:1" x14ac:dyDescent="0.25">
      <c r="A567" s="24" t="s">
        <v>122</v>
      </c>
    </row>
    <row r="568" spans="1:1" x14ac:dyDescent="0.25">
      <c r="A568" s="24" t="s">
        <v>123</v>
      </c>
    </row>
    <row r="569" spans="1:1" x14ac:dyDescent="0.25">
      <c r="A569" s="24" t="s">
        <v>124</v>
      </c>
    </row>
    <row r="570" spans="1:1" x14ac:dyDescent="0.25">
      <c r="A570" s="24" t="s">
        <v>125</v>
      </c>
    </row>
    <row r="571" spans="1:1" x14ac:dyDescent="0.25">
      <c r="A571" s="24" t="s">
        <v>126</v>
      </c>
    </row>
    <row r="572" spans="1:1" x14ac:dyDescent="0.25">
      <c r="A572" s="24" t="s">
        <v>127</v>
      </c>
    </row>
    <row r="573" spans="1:1" x14ac:dyDescent="0.25">
      <c r="A573" s="24" t="s">
        <v>128</v>
      </c>
    </row>
    <row r="574" spans="1:1" x14ac:dyDescent="0.25">
      <c r="A574" s="24" t="s">
        <v>129</v>
      </c>
    </row>
    <row r="575" spans="1:1" x14ac:dyDescent="0.25">
      <c r="A575" s="24" t="s">
        <v>130</v>
      </c>
    </row>
    <row r="576" spans="1:1" x14ac:dyDescent="0.25">
      <c r="A576" s="24" t="s">
        <v>131</v>
      </c>
    </row>
    <row r="577" spans="1:1" x14ac:dyDescent="0.25">
      <c r="A577" s="24" t="s">
        <v>132</v>
      </c>
    </row>
    <row r="578" spans="1:1" x14ac:dyDescent="0.25">
      <c r="A578" s="24" t="s">
        <v>133</v>
      </c>
    </row>
    <row r="579" spans="1:1" x14ac:dyDescent="0.25">
      <c r="A579" s="24" t="s">
        <v>134</v>
      </c>
    </row>
    <row r="580" spans="1:1" x14ac:dyDescent="0.25">
      <c r="A580" s="24" t="s">
        <v>135</v>
      </c>
    </row>
    <row r="581" spans="1:1" x14ac:dyDescent="0.25">
      <c r="A581" s="24" t="s">
        <v>136</v>
      </c>
    </row>
    <row r="582" spans="1:1" x14ac:dyDescent="0.25">
      <c r="A582" s="24" t="s">
        <v>137</v>
      </c>
    </row>
    <row r="583" spans="1:1" x14ac:dyDescent="0.25">
      <c r="A583" s="24" t="s">
        <v>138</v>
      </c>
    </row>
    <row r="584" spans="1:1" x14ac:dyDescent="0.25">
      <c r="A584" s="24" t="s">
        <v>139</v>
      </c>
    </row>
    <row r="585" spans="1:1" x14ac:dyDescent="0.25">
      <c r="A585" s="24" t="s">
        <v>140</v>
      </c>
    </row>
    <row r="586" spans="1:1" x14ac:dyDescent="0.25">
      <c r="A586" s="24" t="s">
        <v>141</v>
      </c>
    </row>
    <row r="587" spans="1:1" x14ac:dyDescent="0.25">
      <c r="A587" s="24" t="s">
        <v>142</v>
      </c>
    </row>
    <row r="588" spans="1:1" x14ac:dyDescent="0.25">
      <c r="A588" s="24" t="s">
        <v>143</v>
      </c>
    </row>
    <row r="589" spans="1:1" x14ac:dyDescent="0.25">
      <c r="A589" s="24" t="s">
        <v>144</v>
      </c>
    </row>
    <row r="590" spans="1:1" x14ac:dyDescent="0.25">
      <c r="A590" s="24" t="s">
        <v>145</v>
      </c>
    </row>
    <row r="591" spans="1:1" x14ac:dyDescent="0.25">
      <c r="A591" s="24" t="s">
        <v>146</v>
      </c>
    </row>
    <row r="592" spans="1:1" x14ac:dyDescent="0.25">
      <c r="A592" s="24" t="s">
        <v>147</v>
      </c>
    </row>
    <row r="593" spans="1:1" x14ac:dyDescent="0.25">
      <c r="A593" s="24" t="s">
        <v>148</v>
      </c>
    </row>
    <row r="594" spans="1:1" x14ac:dyDescent="0.25">
      <c r="A594" s="24" t="s">
        <v>149</v>
      </c>
    </row>
    <row r="595" spans="1:1" x14ac:dyDescent="0.25">
      <c r="A595" s="24" t="s">
        <v>150</v>
      </c>
    </row>
    <row r="596" spans="1:1" x14ac:dyDescent="0.25">
      <c r="A596" s="24" t="s">
        <v>151</v>
      </c>
    </row>
    <row r="597" spans="1:1" x14ac:dyDescent="0.25">
      <c r="A597" s="24" t="s">
        <v>152</v>
      </c>
    </row>
    <row r="598" spans="1:1" x14ac:dyDescent="0.25">
      <c r="A598" s="24" t="s">
        <v>153</v>
      </c>
    </row>
    <row r="599" spans="1:1" x14ac:dyDescent="0.25">
      <c r="A599" s="24" t="s">
        <v>154</v>
      </c>
    </row>
    <row r="600" spans="1:1" x14ac:dyDescent="0.25">
      <c r="A600" s="24" t="s">
        <v>155</v>
      </c>
    </row>
    <row r="601" spans="1:1" x14ac:dyDescent="0.25">
      <c r="A601" s="24" t="s">
        <v>156</v>
      </c>
    </row>
    <row r="602" spans="1:1" x14ac:dyDescent="0.25">
      <c r="A602" s="24" t="s">
        <v>157</v>
      </c>
    </row>
    <row r="603" spans="1:1" x14ac:dyDescent="0.25">
      <c r="A603" s="24" t="s">
        <v>158</v>
      </c>
    </row>
    <row r="604" spans="1:1" x14ac:dyDescent="0.25">
      <c r="A604" s="24" t="s">
        <v>159</v>
      </c>
    </row>
    <row r="605" spans="1:1" x14ac:dyDescent="0.25">
      <c r="A605" s="24" t="s">
        <v>160</v>
      </c>
    </row>
    <row r="606" spans="1:1" x14ac:dyDescent="0.25">
      <c r="A606" s="24" t="s">
        <v>161</v>
      </c>
    </row>
    <row r="607" spans="1:1" x14ac:dyDescent="0.25">
      <c r="A607" s="24" t="s">
        <v>162</v>
      </c>
    </row>
    <row r="608" spans="1:1" x14ac:dyDescent="0.25">
      <c r="A608" s="24" t="s">
        <v>163</v>
      </c>
    </row>
    <row r="609" spans="1:1" x14ac:dyDescent="0.25">
      <c r="A609" s="24" t="s">
        <v>164</v>
      </c>
    </row>
    <row r="610" spans="1:1" x14ac:dyDescent="0.25">
      <c r="A610" s="24" t="s">
        <v>165</v>
      </c>
    </row>
    <row r="611" spans="1:1" x14ac:dyDescent="0.25">
      <c r="A611" s="24" t="s">
        <v>166</v>
      </c>
    </row>
    <row r="612" spans="1:1" x14ac:dyDescent="0.25">
      <c r="A612" s="24" t="s">
        <v>167</v>
      </c>
    </row>
    <row r="613" spans="1:1" x14ac:dyDescent="0.25">
      <c r="A613" s="24" t="s">
        <v>168</v>
      </c>
    </row>
    <row r="614" spans="1:1" x14ac:dyDescent="0.25">
      <c r="A614" s="24" t="s">
        <v>169</v>
      </c>
    </row>
    <row r="615" spans="1:1" x14ac:dyDescent="0.25">
      <c r="A615" s="24" t="s">
        <v>170</v>
      </c>
    </row>
    <row r="616" spans="1:1" x14ac:dyDescent="0.25">
      <c r="A616" s="24" t="s">
        <v>171</v>
      </c>
    </row>
    <row r="617" spans="1:1" x14ac:dyDescent="0.25">
      <c r="A617" s="24" t="s">
        <v>172</v>
      </c>
    </row>
    <row r="618" spans="1:1" x14ac:dyDescent="0.25">
      <c r="A618" s="24" t="s">
        <v>173</v>
      </c>
    </row>
    <row r="619" spans="1:1" x14ac:dyDescent="0.25">
      <c r="A619" s="24" t="s">
        <v>174</v>
      </c>
    </row>
    <row r="620" spans="1:1" x14ac:dyDescent="0.25">
      <c r="A620" s="24" t="s">
        <v>175</v>
      </c>
    </row>
    <row r="621" spans="1:1" x14ac:dyDescent="0.25">
      <c r="A621" s="24" t="s">
        <v>176</v>
      </c>
    </row>
    <row r="622" spans="1:1" x14ac:dyDescent="0.25">
      <c r="A622" s="24" t="s">
        <v>177</v>
      </c>
    </row>
    <row r="623" spans="1:1" x14ac:dyDescent="0.25">
      <c r="A623" s="24" t="s">
        <v>178</v>
      </c>
    </row>
    <row r="624" spans="1:1" x14ac:dyDescent="0.25">
      <c r="A624" s="24" t="s">
        <v>179</v>
      </c>
    </row>
    <row r="625" spans="1:1" x14ac:dyDescent="0.25">
      <c r="A625" s="24" t="s">
        <v>180</v>
      </c>
    </row>
    <row r="626" spans="1:1" x14ac:dyDescent="0.25">
      <c r="A626" s="24" t="s">
        <v>181</v>
      </c>
    </row>
    <row r="627" spans="1:1" x14ac:dyDescent="0.25">
      <c r="A627" s="24" t="s">
        <v>182</v>
      </c>
    </row>
    <row r="628" spans="1:1" x14ac:dyDescent="0.25">
      <c r="A628" s="24" t="s">
        <v>183</v>
      </c>
    </row>
    <row r="629" spans="1:1" x14ac:dyDescent="0.25">
      <c r="A629" s="24" t="s">
        <v>184</v>
      </c>
    </row>
    <row r="630" spans="1:1" x14ac:dyDescent="0.25">
      <c r="A630" s="24" t="s">
        <v>185</v>
      </c>
    </row>
    <row r="631" spans="1:1" x14ac:dyDescent="0.25">
      <c r="A631" s="24" t="s">
        <v>186</v>
      </c>
    </row>
    <row r="632" spans="1:1" x14ac:dyDescent="0.25">
      <c r="A632" s="24" t="s">
        <v>187</v>
      </c>
    </row>
    <row r="633" spans="1:1" x14ac:dyDescent="0.25">
      <c r="A633" s="24" t="s">
        <v>188</v>
      </c>
    </row>
    <row r="634" spans="1:1" x14ac:dyDescent="0.25">
      <c r="A634" s="24" t="s">
        <v>189</v>
      </c>
    </row>
    <row r="635" spans="1:1" x14ac:dyDescent="0.25">
      <c r="A635" s="24" t="s">
        <v>190</v>
      </c>
    </row>
    <row r="636" spans="1:1" x14ac:dyDescent="0.25">
      <c r="A636" s="24" t="s">
        <v>191</v>
      </c>
    </row>
    <row r="637" spans="1:1" x14ac:dyDescent="0.25">
      <c r="A637" s="24" t="s">
        <v>192</v>
      </c>
    </row>
    <row r="638" spans="1:1" x14ac:dyDescent="0.25">
      <c r="A638" s="24" t="s">
        <v>193</v>
      </c>
    </row>
    <row r="639" spans="1:1" x14ac:dyDescent="0.25">
      <c r="A639" s="24" t="s">
        <v>194</v>
      </c>
    </row>
    <row r="640" spans="1:1" x14ac:dyDescent="0.25">
      <c r="A640" s="24" t="s">
        <v>195</v>
      </c>
    </row>
    <row r="641" spans="1:1" x14ac:dyDescent="0.25">
      <c r="A641" s="24" t="s">
        <v>196</v>
      </c>
    </row>
    <row r="642" spans="1:1" x14ac:dyDescent="0.25">
      <c r="A642" s="24" t="s">
        <v>197</v>
      </c>
    </row>
    <row r="643" spans="1:1" x14ac:dyDescent="0.25">
      <c r="A643" s="24" t="s">
        <v>198</v>
      </c>
    </row>
    <row r="644" spans="1:1" x14ac:dyDescent="0.25">
      <c r="A644" s="24" t="s">
        <v>199</v>
      </c>
    </row>
    <row r="645" spans="1:1" x14ac:dyDescent="0.25">
      <c r="A645" s="24" t="s">
        <v>200</v>
      </c>
    </row>
    <row r="646" spans="1:1" x14ac:dyDescent="0.25">
      <c r="A646" s="24" t="s">
        <v>201</v>
      </c>
    </row>
    <row r="647" spans="1:1" x14ac:dyDescent="0.25">
      <c r="A647" s="24" t="s">
        <v>202</v>
      </c>
    </row>
    <row r="648" spans="1:1" x14ac:dyDescent="0.25">
      <c r="A648" s="24" t="s">
        <v>203</v>
      </c>
    </row>
    <row r="649" spans="1:1" x14ac:dyDescent="0.25">
      <c r="A649" s="24" t="s">
        <v>204</v>
      </c>
    </row>
    <row r="650" spans="1:1" x14ac:dyDescent="0.25">
      <c r="A650" s="24" t="s">
        <v>205</v>
      </c>
    </row>
    <row r="651" spans="1:1" x14ac:dyDescent="0.25">
      <c r="A651" s="24" t="s">
        <v>206</v>
      </c>
    </row>
    <row r="652" spans="1:1" x14ac:dyDescent="0.25">
      <c r="A652" s="24" t="s">
        <v>207</v>
      </c>
    </row>
    <row r="653" spans="1:1" x14ac:dyDescent="0.25">
      <c r="A653" s="24" t="s">
        <v>208</v>
      </c>
    </row>
    <row r="654" spans="1:1" x14ac:dyDescent="0.25">
      <c r="A654" s="24" t="s">
        <v>209</v>
      </c>
    </row>
    <row r="655" spans="1:1" x14ac:dyDescent="0.25">
      <c r="A655" s="24" t="s">
        <v>210</v>
      </c>
    </row>
    <row r="656" spans="1:1" x14ac:dyDescent="0.25">
      <c r="A656" s="24" t="s">
        <v>211</v>
      </c>
    </row>
    <row r="657" spans="1:1" x14ac:dyDescent="0.25">
      <c r="A657" s="24" t="s">
        <v>212</v>
      </c>
    </row>
    <row r="658" spans="1:1" x14ac:dyDescent="0.25">
      <c r="A658" s="24" t="s">
        <v>213</v>
      </c>
    </row>
    <row r="659" spans="1:1" x14ac:dyDescent="0.25">
      <c r="A659" s="24" t="s">
        <v>214</v>
      </c>
    </row>
    <row r="660" spans="1:1" x14ac:dyDescent="0.25">
      <c r="A660" s="24" t="s">
        <v>215</v>
      </c>
    </row>
    <row r="661" spans="1:1" x14ac:dyDescent="0.25">
      <c r="A661" s="24" t="s">
        <v>216</v>
      </c>
    </row>
    <row r="662" spans="1:1" x14ac:dyDescent="0.25">
      <c r="A662" s="24" t="s">
        <v>217</v>
      </c>
    </row>
    <row r="663" spans="1:1" x14ac:dyDescent="0.25">
      <c r="A663" s="24" t="s">
        <v>218</v>
      </c>
    </row>
    <row r="664" spans="1:1" x14ac:dyDescent="0.25">
      <c r="A664" s="24" t="s">
        <v>219</v>
      </c>
    </row>
    <row r="665" spans="1:1" x14ac:dyDescent="0.25">
      <c r="A665" s="24" t="s">
        <v>220</v>
      </c>
    </row>
    <row r="666" spans="1:1" x14ac:dyDescent="0.25">
      <c r="A666" s="24" t="s">
        <v>221</v>
      </c>
    </row>
    <row r="667" spans="1:1" x14ac:dyDescent="0.25">
      <c r="A667" s="24" t="s">
        <v>222</v>
      </c>
    </row>
    <row r="668" spans="1:1" x14ac:dyDescent="0.25">
      <c r="A668" s="24" t="s">
        <v>223</v>
      </c>
    </row>
    <row r="669" spans="1:1" x14ac:dyDescent="0.25">
      <c r="A669" s="24" t="s">
        <v>224</v>
      </c>
    </row>
    <row r="670" spans="1:1" x14ac:dyDescent="0.25">
      <c r="A670" s="24" t="s">
        <v>225</v>
      </c>
    </row>
    <row r="671" spans="1:1" x14ac:dyDescent="0.25">
      <c r="A671" s="24" t="s">
        <v>226</v>
      </c>
    </row>
    <row r="672" spans="1:1" x14ac:dyDescent="0.25">
      <c r="A672" s="24" t="s">
        <v>227</v>
      </c>
    </row>
    <row r="673" spans="1:1" x14ac:dyDescent="0.25">
      <c r="A673" s="24" t="s">
        <v>228</v>
      </c>
    </row>
    <row r="674" spans="1:1" x14ac:dyDescent="0.25">
      <c r="A674" s="24" t="s">
        <v>229</v>
      </c>
    </row>
    <row r="675" spans="1:1" x14ac:dyDescent="0.25">
      <c r="A675" s="24" t="s">
        <v>230</v>
      </c>
    </row>
    <row r="676" spans="1:1" x14ac:dyDescent="0.25">
      <c r="A676" s="24" t="s">
        <v>231</v>
      </c>
    </row>
    <row r="677" spans="1:1" x14ac:dyDescent="0.25">
      <c r="A677" s="24" t="s">
        <v>232</v>
      </c>
    </row>
    <row r="678" spans="1:1" x14ac:dyDescent="0.25">
      <c r="A678" s="24" t="s">
        <v>233</v>
      </c>
    </row>
    <row r="679" spans="1:1" x14ac:dyDescent="0.25">
      <c r="A679" s="24" t="s">
        <v>234</v>
      </c>
    </row>
    <row r="680" spans="1:1" x14ac:dyDescent="0.25">
      <c r="A680" s="24" t="s">
        <v>235</v>
      </c>
    </row>
    <row r="681" spans="1:1" x14ac:dyDescent="0.25">
      <c r="A681" s="24" t="s">
        <v>236</v>
      </c>
    </row>
    <row r="682" spans="1:1" x14ac:dyDescent="0.25">
      <c r="A682" s="24" t="s">
        <v>237</v>
      </c>
    </row>
    <row r="683" spans="1:1" x14ac:dyDescent="0.25">
      <c r="A683" s="24" t="s">
        <v>238</v>
      </c>
    </row>
    <row r="684" spans="1:1" x14ac:dyDescent="0.25">
      <c r="A684" s="24" t="s">
        <v>239</v>
      </c>
    </row>
    <row r="685" spans="1:1" x14ac:dyDescent="0.25">
      <c r="A685" s="24" t="s">
        <v>240</v>
      </c>
    </row>
    <row r="686" spans="1:1" x14ac:dyDescent="0.25">
      <c r="A686" s="24" t="s">
        <v>241</v>
      </c>
    </row>
    <row r="687" spans="1:1" x14ac:dyDescent="0.25">
      <c r="A687" s="24" t="s">
        <v>242</v>
      </c>
    </row>
    <row r="688" spans="1:1" x14ac:dyDescent="0.25">
      <c r="A688" s="24" t="s">
        <v>243</v>
      </c>
    </row>
    <row r="689" spans="1:1" x14ac:dyDescent="0.25">
      <c r="A689" s="24" t="s">
        <v>244</v>
      </c>
    </row>
    <row r="690" spans="1:1" x14ac:dyDescent="0.25">
      <c r="A690" s="24" t="s">
        <v>245</v>
      </c>
    </row>
    <row r="691" spans="1:1" x14ac:dyDescent="0.25">
      <c r="A691" s="24" t="s">
        <v>246</v>
      </c>
    </row>
    <row r="692" spans="1:1" x14ac:dyDescent="0.25">
      <c r="A692" s="24" t="s">
        <v>247</v>
      </c>
    </row>
    <row r="693" spans="1:1" x14ac:dyDescent="0.25">
      <c r="A693" s="24" t="s">
        <v>248</v>
      </c>
    </row>
    <row r="694" spans="1:1" x14ac:dyDescent="0.25">
      <c r="A694" s="24" t="s">
        <v>249</v>
      </c>
    </row>
    <row r="695" spans="1:1" x14ac:dyDescent="0.25">
      <c r="A695" s="24" t="s">
        <v>250</v>
      </c>
    </row>
    <row r="696" spans="1:1" x14ac:dyDescent="0.25">
      <c r="A696" s="24" t="s">
        <v>251</v>
      </c>
    </row>
    <row r="697" spans="1:1" x14ac:dyDescent="0.25">
      <c r="A697" s="24" t="s">
        <v>252</v>
      </c>
    </row>
    <row r="698" spans="1:1" x14ac:dyDescent="0.25">
      <c r="A698" s="24" t="s">
        <v>253</v>
      </c>
    </row>
    <row r="699" spans="1:1" x14ac:dyDescent="0.25">
      <c r="A699" s="24" t="s">
        <v>254</v>
      </c>
    </row>
    <row r="700" spans="1:1" x14ac:dyDescent="0.25">
      <c r="A700" s="24" t="s">
        <v>255</v>
      </c>
    </row>
    <row r="701" spans="1:1" x14ac:dyDescent="0.25">
      <c r="A701" s="24" t="s">
        <v>256</v>
      </c>
    </row>
    <row r="702" spans="1:1" x14ac:dyDescent="0.25">
      <c r="A702" s="24" t="s">
        <v>257</v>
      </c>
    </row>
    <row r="703" spans="1:1" x14ac:dyDescent="0.25">
      <c r="A703" s="24" t="s">
        <v>258</v>
      </c>
    </row>
    <row r="704" spans="1:1" x14ac:dyDescent="0.25">
      <c r="A704" s="24" t="s">
        <v>259</v>
      </c>
    </row>
    <row r="705" spans="1:1" x14ac:dyDescent="0.25">
      <c r="A705" s="24" t="s">
        <v>260</v>
      </c>
    </row>
    <row r="706" spans="1:1" x14ac:dyDescent="0.25">
      <c r="A706" s="24" t="s">
        <v>261</v>
      </c>
    </row>
    <row r="707" spans="1:1" x14ac:dyDescent="0.25">
      <c r="A707" s="24" t="s">
        <v>262</v>
      </c>
    </row>
    <row r="708" spans="1:1" x14ac:dyDescent="0.25">
      <c r="A708" s="24" t="s">
        <v>263</v>
      </c>
    </row>
    <row r="709" spans="1:1" x14ac:dyDescent="0.25">
      <c r="A709" s="24" t="s">
        <v>264</v>
      </c>
    </row>
    <row r="710" spans="1:1" x14ac:dyDescent="0.25">
      <c r="A710" s="24" t="s">
        <v>265</v>
      </c>
    </row>
    <row r="711" spans="1:1" x14ac:dyDescent="0.25">
      <c r="A711" s="24" t="s">
        <v>266</v>
      </c>
    </row>
    <row r="712" spans="1:1" x14ac:dyDescent="0.25">
      <c r="A712" s="24" t="s">
        <v>267</v>
      </c>
    </row>
    <row r="713" spans="1:1" x14ac:dyDescent="0.25">
      <c r="A713" s="24" t="s">
        <v>268</v>
      </c>
    </row>
    <row r="714" spans="1:1" x14ac:dyDescent="0.25">
      <c r="A714" s="24" t="s">
        <v>269</v>
      </c>
    </row>
    <row r="715" spans="1:1" x14ac:dyDescent="0.25">
      <c r="A715" s="24" t="s">
        <v>270</v>
      </c>
    </row>
    <row r="716" spans="1:1" x14ac:dyDescent="0.25">
      <c r="A716" s="24" t="s">
        <v>271</v>
      </c>
    </row>
    <row r="717" spans="1:1" x14ac:dyDescent="0.25">
      <c r="A717" s="24" t="s">
        <v>272</v>
      </c>
    </row>
    <row r="718" spans="1:1" x14ac:dyDescent="0.25">
      <c r="A718" s="24" t="s">
        <v>273</v>
      </c>
    </row>
    <row r="719" spans="1:1" x14ac:dyDescent="0.25">
      <c r="A719" s="24" t="s">
        <v>274</v>
      </c>
    </row>
    <row r="720" spans="1:1" x14ac:dyDescent="0.25">
      <c r="A720" s="24" t="s">
        <v>275</v>
      </c>
    </row>
    <row r="721" spans="1:1" x14ac:dyDescent="0.25">
      <c r="A721" s="24" t="s">
        <v>276</v>
      </c>
    </row>
    <row r="722" spans="1:1" x14ac:dyDescent="0.25">
      <c r="A722" s="24" t="s">
        <v>277</v>
      </c>
    </row>
    <row r="723" spans="1:1" x14ac:dyDescent="0.25">
      <c r="A723" s="24" t="s">
        <v>278</v>
      </c>
    </row>
    <row r="724" spans="1:1" x14ac:dyDescent="0.25">
      <c r="A724" s="24" t="s">
        <v>279</v>
      </c>
    </row>
    <row r="725" spans="1:1" x14ac:dyDescent="0.25">
      <c r="A725" s="24" t="s">
        <v>280</v>
      </c>
    </row>
    <row r="726" spans="1:1" x14ac:dyDescent="0.25">
      <c r="A726" s="24" t="s">
        <v>281</v>
      </c>
    </row>
    <row r="727" spans="1:1" x14ac:dyDescent="0.25">
      <c r="A727" s="24" t="s">
        <v>282</v>
      </c>
    </row>
    <row r="728" spans="1:1" x14ac:dyDescent="0.25">
      <c r="A728" s="24" t="s">
        <v>283</v>
      </c>
    </row>
    <row r="729" spans="1:1" x14ac:dyDescent="0.25">
      <c r="A729" s="24" t="s">
        <v>284</v>
      </c>
    </row>
    <row r="730" spans="1:1" x14ac:dyDescent="0.25">
      <c r="A730" s="24" t="s">
        <v>285</v>
      </c>
    </row>
    <row r="731" spans="1:1" x14ac:dyDescent="0.25">
      <c r="A731" s="24" t="s">
        <v>286</v>
      </c>
    </row>
    <row r="732" spans="1:1" x14ac:dyDescent="0.25">
      <c r="A732" s="24" t="s">
        <v>287</v>
      </c>
    </row>
    <row r="733" spans="1:1" x14ac:dyDescent="0.25">
      <c r="A733" s="24" t="s">
        <v>288</v>
      </c>
    </row>
    <row r="734" spans="1:1" x14ac:dyDescent="0.25">
      <c r="A734" s="24" t="s">
        <v>289</v>
      </c>
    </row>
    <row r="735" spans="1:1" x14ac:dyDescent="0.25">
      <c r="A735" s="24" t="s">
        <v>290</v>
      </c>
    </row>
    <row r="736" spans="1:1" x14ac:dyDescent="0.25">
      <c r="A736" s="24" t="s">
        <v>291</v>
      </c>
    </row>
    <row r="737" spans="1:1" x14ac:dyDescent="0.25">
      <c r="A737" s="24" t="s">
        <v>292</v>
      </c>
    </row>
    <row r="738" spans="1:1" x14ac:dyDescent="0.25">
      <c r="A738" s="24" t="s">
        <v>293</v>
      </c>
    </row>
    <row r="739" spans="1:1" x14ac:dyDescent="0.25">
      <c r="A739" s="24" t="s">
        <v>294</v>
      </c>
    </row>
    <row r="740" spans="1:1" x14ac:dyDescent="0.25">
      <c r="A740" s="24" t="s">
        <v>295</v>
      </c>
    </row>
    <row r="741" spans="1:1" x14ac:dyDescent="0.25">
      <c r="A741" s="24" t="s">
        <v>296</v>
      </c>
    </row>
    <row r="742" spans="1:1" x14ac:dyDescent="0.25">
      <c r="A742" s="24" t="s">
        <v>297</v>
      </c>
    </row>
    <row r="743" spans="1:1" x14ac:dyDescent="0.25">
      <c r="A743" s="24" t="s">
        <v>298</v>
      </c>
    </row>
    <row r="744" spans="1:1" x14ac:dyDescent="0.25">
      <c r="A744" s="24" t="s">
        <v>299</v>
      </c>
    </row>
    <row r="745" spans="1:1" x14ac:dyDescent="0.25">
      <c r="A745" s="24" t="s">
        <v>300</v>
      </c>
    </row>
    <row r="746" spans="1:1" x14ac:dyDescent="0.25">
      <c r="A746" s="24" t="s">
        <v>301</v>
      </c>
    </row>
    <row r="747" spans="1:1" x14ac:dyDescent="0.25">
      <c r="A747" s="24" t="s">
        <v>302</v>
      </c>
    </row>
    <row r="748" spans="1:1" x14ac:dyDescent="0.25">
      <c r="A748" s="24" t="s">
        <v>303</v>
      </c>
    </row>
    <row r="749" spans="1:1" x14ac:dyDescent="0.25">
      <c r="A749" s="24" t="s">
        <v>304</v>
      </c>
    </row>
    <row r="750" spans="1:1" x14ac:dyDescent="0.25">
      <c r="A750" s="24" t="s">
        <v>305</v>
      </c>
    </row>
    <row r="751" spans="1:1" x14ac:dyDescent="0.25">
      <c r="A751" s="24" t="s">
        <v>306</v>
      </c>
    </row>
    <row r="752" spans="1:1" x14ac:dyDescent="0.25">
      <c r="A752" s="24" t="s">
        <v>307</v>
      </c>
    </row>
    <row r="753" spans="1:1" x14ac:dyDescent="0.25">
      <c r="A753" s="24" t="s">
        <v>308</v>
      </c>
    </row>
    <row r="754" spans="1:1" x14ac:dyDescent="0.25">
      <c r="A754" s="24" t="s">
        <v>309</v>
      </c>
    </row>
    <row r="755" spans="1:1" x14ac:dyDescent="0.25">
      <c r="A755" s="24" t="s">
        <v>310</v>
      </c>
    </row>
    <row r="756" spans="1:1" x14ac:dyDescent="0.25">
      <c r="A756" s="24" t="s">
        <v>311</v>
      </c>
    </row>
    <row r="757" spans="1:1" x14ac:dyDescent="0.25">
      <c r="A757" s="24" t="s">
        <v>312</v>
      </c>
    </row>
    <row r="758" spans="1:1" x14ac:dyDescent="0.25">
      <c r="A758" s="24" t="s">
        <v>313</v>
      </c>
    </row>
    <row r="759" spans="1:1" x14ac:dyDescent="0.25">
      <c r="A759" s="24" t="s">
        <v>314</v>
      </c>
    </row>
    <row r="760" spans="1:1" x14ac:dyDescent="0.25">
      <c r="A760" s="24" t="s">
        <v>315</v>
      </c>
    </row>
    <row r="761" spans="1:1" x14ac:dyDescent="0.25">
      <c r="A761" s="24" t="s">
        <v>316</v>
      </c>
    </row>
    <row r="762" spans="1:1" x14ac:dyDescent="0.25">
      <c r="A762" s="24" t="s">
        <v>317</v>
      </c>
    </row>
    <row r="763" spans="1:1" x14ac:dyDescent="0.25">
      <c r="A763" s="24" t="s">
        <v>318</v>
      </c>
    </row>
    <row r="764" spans="1:1" x14ac:dyDescent="0.25">
      <c r="A764" s="24" t="s">
        <v>319</v>
      </c>
    </row>
    <row r="765" spans="1:1" x14ac:dyDescent="0.25">
      <c r="A765" s="24" t="s">
        <v>320</v>
      </c>
    </row>
    <row r="766" spans="1:1" x14ac:dyDescent="0.25">
      <c r="A766" s="24" t="s">
        <v>321</v>
      </c>
    </row>
    <row r="767" spans="1:1" x14ac:dyDescent="0.25">
      <c r="A767" s="24" t="s">
        <v>322</v>
      </c>
    </row>
    <row r="768" spans="1:1" x14ac:dyDescent="0.25">
      <c r="A768" s="24" t="s">
        <v>323</v>
      </c>
    </row>
    <row r="769" spans="1:1" x14ac:dyDescent="0.25">
      <c r="A769" s="24" t="s">
        <v>324</v>
      </c>
    </row>
    <row r="770" spans="1:1" x14ac:dyDescent="0.25">
      <c r="A770" s="24" t="s">
        <v>325</v>
      </c>
    </row>
    <row r="771" spans="1:1" x14ac:dyDescent="0.25">
      <c r="A771" s="24" t="s">
        <v>326</v>
      </c>
    </row>
    <row r="772" spans="1:1" x14ac:dyDescent="0.25">
      <c r="A772" s="24" t="s">
        <v>327</v>
      </c>
    </row>
    <row r="773" spans="1:1" x14ac:dyDescent="0.25">
      <c r="A773" s="24" t="s">
        <v>328</v>
      </c>
    </row>
    <row r="774" spans="1:1" x14ac:dyDescent="0.25">
      <c r="A774" s="24" t="s">
        <v>329</v>
      </c>
    </row>
    <row r="775" spans="1:1" x14ac:dyDescent="0.25">
      <c r="A775" s="24" t="s">
        <v>330</v>
      </c>
    </row>
    <row r="776" spans="1:1" x14ac:dyDescent="0.25">
      <c r="A776" s="24" t="s">
        <v>331</v>
      </c>
    </row>
    <row r="777" spans="1:1" x14ac:dyDescent="0.25">
      <c r="A777" s="24" t="s">
        <v>332</v>
      </c>
    </row>
    <row r="778" spans="1:1" x14ac:dyDescent="0.25">
      <c r="A778" s="24" t="s">
        <v>333</v>
      </c>
    </row>
    <row r="779" spans="1:1" x14ac:dyDescent="0.25">
      <c r="A779" s="24" t="s">
        <v>334</v>
      </c>
    </row>
    <row r="780" spans="1:1" x14ac:dyDescent="0.25">
      <c r="A780" s="24" t="s">
        <v>335</v>
      </c>
    </row>
    <row r="781" spans="1:1" x14ac:dyDescent="0.25">
      <c r="A781" s="24" t="s">
        <v>336</v>
      </c>
    </row>
    <row r="782" spans="1:1" x14ac:dyDescent="0.25">
      <c r="A782" s="24" t="s">
        <v>337</v>
      </c>
    </row>
    <row r="783" spans="1:1" x14ac:dyDescent="0.25">
      <c r="A783" s="24" t="s">
        <v>338</v>
      </c>
    </row>
    <row r="784" spans="1:1" x14ac:dyDescent="0.25">
      <c r="A784" s="24" t="s">
        <v>339</v>
      </c>
    </row>
    <row r="785" spans="1:1" x14ac:dyDescent="0.25">
      <c r="A785" s="24" t="s">
        <v>340</v>
      </c>
    </row>
    <row r="786" spans="1:1" x14ac:dyDescent="0.25">
      <c r="A786" s="24" t="s">
        <v>341</v>
      </c>
    </row>
    <row r="787" spans="1:1" x14ac:dyDescent="0.25">
      <c r="A787" s="24" t="s">
        <v>342</v>
      </c>
    </row>
    <row r="788" spans="1:1" x14ac:dyDescent="0.25">
      <c r="A788" s="24" t="s">
        <v>343</v>
      </c>
    </row>
    <row r="789" spans="1:1" x14ac:dyDescent="0.25">
      <c r="A789" s="24" t="s">
        <v>344</v>
      </c>
    </row>
    <row r="790" spans="1:1" x14ac:dyDescent="0.25">
      <c r="A790" s="24" t="s">
        <v>345</v>
      </c>
    </row>
    <row r="791" spans="1:1" x14ac:dyDescent="0.25">
      <c r="A791" s="24" t="s">
        <v>346</v>
      </c>
    </row>
    <row r="792" spans="1:1" x14ac:dyDescent="0.25">
      <c r="A792" s="24" t="s">
        <v>347</v>
      </c>
    </row>
    <row r="793" spans="1:1" x14ac:dyDescent="0.25">
      <c r="A793" s="24" t="s">
        <v>348</v>
      </c>
    </row>
    <row r="794" spans="1:1" x14ac:dyDescent="0.25">
      <c r="A794" s="24" t="s">
        <v>349</v>
      </c>
    </row>
    <row r="795" spans="1:1" x14ac:dyDescent="0.25">
      <c r="A795" s="24" t="s">
        <v>350</v>
      </c>
    </row>
    <row r="796" spans="1:1" x14ac:dyDescent="0.25">
      <c r="A796" s="24" t="s">
        <v>351</v>
      </c>
    </row>
    <row r="797" spans="1:1" x14ac:dyDescent="0.25">
      <c r="A797" s="24" t="s">
        <v>352</v>
      </c>
    </row>
    <row r="798" spans="1:1" x14ac:dyDescent="0.25">
      <c r="A798" s="24" t="s">
        <v>353</v>
      </c>
    </row>
    <row r="799" spans="1:1" x14ac:dyDescent="0.25">
      <c r="A799" s="24" t="s">
        <v>354</v>
      </c>
    </row>
    <row r="800" spans="1:1" x14ac:dyDescent="0.25">
      <c r="A800" s="24" t="s">
        <v>355</v>
      </c>
    </row>
    <row r="801" spans="1:1" x14ac:dyDescent="0.25">
      <c r="A801" s="24" t="s">
        <v>356</v>
      </c>
    </row>
    <row r="802" spans="1:1" x14ac:dyDescent="0.25">
      <c r="A802" s="24" t="s">
        <v>357</v>
      </c>
    </row>
    <row r="803" spans="1:1" x14ac:dyDescent="0.25">
      <c r="A803" s="24" t="s">
        <v>358</v>
      </c>
    </row>
    <row r="804" spans="1:1" x14ac:dyDescent="0.25">
      <c r="A804" s="24" t="s">
        <v>359</v>
      </c>
    </row>
    <row r="805" spans="1:1" x14ac:dyDescent="0.25">
      <c r="A805" s="24" t="s">
        <v>360</v>
      </c>
    </row>
    <row r="806" spans="1:1" x14ac:dyDescent="0.25">
      <c r="A806" s="24" t="s">
        <v>361</v>
      </c>
    </row>
    <row r="807" spans="1:1" x14ac:dyDescent="0.25">
      <c r="A807" s="24" t="s">
        <v>362</v>
      </c>
    </row>
    <row r="808" spans="1:1" x14ac:dyDescent="0.25">
      <c r="A808" s="24" t="s">
        <v>363</v>
      </c>
    </row>
    <row r="809" spans="1:1" x14ac:dyDescent="0.25">
      <c r="A809" s="24" t="s">
        <v>364</v>
      </c>
    </row>
    <row r="810" spans="1:1" x14ac:dyDescent="0.25">
      <c r="A810" s="24" t="s">
        <v>365</v>
      </c>
    </row>
    <row r="811" spans="1:1" x14ac:dyDescent="0.25">
      <c r="A811" s="24" t="s">
        <v>366</v>
      </c>
    </row>
    <row r="812" spans="1:1" x14ac:dyDescent="0.25">
      <c r="A812" s="24" t="s">
        <v>367</v>
      </c>
    </row>
    <row r="813" spans="1:1" x14ac:dyDescent="0.25">
      <c r="A813" s="24" t="s">
        <v>368</v>
      </c>
    </row>
    <row r="814" spans="1:1" x14ac:dyDescent="0.25">
      <c r="A814" s="24" t="s">
        <v>369</v>
      </c>
    </row>
    <row r="815" spans="1:1" x14ac:dyDescent="0.25">
      <c r="A815" s="24" t="s">
        <v>370</v>
      </c>
    </row>
    <row r="816" spans="1:1" x14ac:dyDescent="0.25">
      <c r="A816" s="24" t="s">
        <v>371</v>
      </c>
    </row>
    <row r="817" spans="1:1" x14ac:dyDescent="0.25">
      <c r="A817" s="24" t="s">
        <v>372</v>
      </c>
    </row>
    <row r="818" spans="1:1" x14ac:dyDescent="0.25">
      <c r="A818" s="24" t="s">
        <v>373</v>
      </c>
    </row>
    <row r="819" spans="1:1" x14ac:dyDescent="0.25">
      <c r="A819" s="24" t="s">
        <v>374</v>
      </c>
    </row>
    <row r="820" spans="1:1" x14ac:dyDescent="0.25">
      <c r="A820" s="24" t="s">
        <v>375</v>
      </c>
    </row>
    <row r="821" spans="1:1" x14ac:dyDescent="0.25">
      <c r="A821" s="24" t="s">
        <v>376</v>
      </c>
    </row>
    <row r="822" spans="1:1" x14ac:dyDescent="0.25">
      <c r="A822" s="24" t="s">
        <v>377</v>
      </c>
    </row>
    <row r="823" spans="1:1" x14ac:dyDescent="0.25">
      <c r="A823" s="24" t="s">
        <v>378</v>
      </c>
    </row>
    <row r="824" spans="1:1" x14ac:dyDescent="0.25">
      <c r="A824" s="24" t="s">
        <v>379</v>
      </c>
    </row>
    <row r="825" spans="1:1" x14ac:dyDescent="0.25">
      <c r="A825" s="24" t="s">
        <v>380</v>
      </c>
    </row>
    <row r="826" spans="1:1" x14ac:dyDescent="0.25">
      <c r="A826" s="24" t="s">
        <v>381</v>
      </c>
    </row>
    <row r="827" spans="1:1" x14ac:dyDescent="0.25">
      <c r="A827" s="24" t="s">
        <v>382</v>
      </c>
    </row>
    <row r="828" spans="1:1" x14ac:dyDescent="0.25">
      <c r="A828" s="24" t="s">
        <v>383</v>
      </c>
    </row>
    <row r="829" spans="1:1" x14ac:dyDescent="0.25">
      <c r="A829" s="24" t="s">
        <v>384</v>
      </c>
    </row>
    <row r="830" spans="1:1" x14ac:dyDescent="0.25">
      <c r="A830" s="24" t="s">
        <v>385</v>
      </c>
    </row>
    <row r="831" spans="1:1" x14ac:dyDescent="0.25">
      <c r="A831" s="24" t="s">
        <v>386</v>
      </c>
    </row>
    <row r="832" spans="1:1" x14ac:dyDescent="0.25">
      <c r="A832" s="24" t="s">
        <v>387</v>
      </c>
    </row>
    <row r="833" spans="1:1" x14ac:dyDescent="0.25">
      <c r="A833" s="24" t="s">
        <v>388</v>
      </c>
    </row>
    <row r="834" spans="1:1" x14ac:dyDescent="0.25">
      <c r="A834" s="24" t="s">
        <v>389</v>
      </c>
    </row>
    <row r="835" spans="1:1" x14ac:dyDescent="0.25">
      <c r="A835" s="24" t="s">
        <v>390</v>
      </c>
    </row>
    <row r="836" spans="1:1" x14ac:dyDescent="0.25">
      <c r="A836" s="24" t="s">
        <v>391</v>
      </c>
    </row>
    <row r="837" spans="1:1" x14ac:dyDescent="0.25">
      <c r="A837" s="24" t="s">
        <v>392</v>
      </c>
    </row>
    <row r="838" spans="1:1" x14ac:dyDescent="0.25">
      <c r="A838" s="24" t="s">
        <v>393</v>
      </c>
    </row>
    <row r="839" spans="1:1" x14ac:dyDescent="0.25">
      <c r="A839" s="24" t="s">
        <v>394</v>
      </c>
    </row>
    <row r="840" spans="1:1" x14ac:dyDescent="0.25">
      <c r="A840" s="24" t="s">
        <v>395</v>
      </c>
    </row>
    <row r="841" spans="1:1" x14ac:dyDescent="0.25">
      <c r="A841" s="24" t="s">
        <v>396</v>
      </c>
    </row>
    <row r="842" spans="1:1" x14ac:dyDescent="0.25">
      <c r="A842" s="24" t="s">
        <v>397</v>
      </c>
    </row>
    <row r="843" spans="1:1" x14ac:dyDescent="0.25">
      <c r="A843" s="24" t="s">
        <v>398</v>
      </c>
    </row>
    <row r="844" spans="1:1" x14ac:dyDescent="0.25">
      <c r="A844" s="24" t="s">
        <v>399</v>
      </c>
    </row>
    <row r="845" spans="1:1" x14ac:dyDescent="0.25">
      <c r="A845" s="24" t="s">
        <v>400</v>
      </c>
    </row>
    <row r="846" spans="1:1" x14ac:dyDescent="0.25">
      <c r="A846" s="24" t="s">
        <v>401</v>
      </c>
    </row>
    <row r="847" spans="1:1" x14ac:dyDescent="0.25">
      <c r="A847" s="24" t="s">
        <v>402</v>
      </c>
    </row>
    <row r="848" spans="1:1" x14ac:dyDescent="0.25">
      <c r="A848" s="24" t="s">
        <v>403</v>
      </c>
    </row>
    <row r="849" spans="1:1" x14ac:dyDescent="0.25">
      <c r="A849" s="24" t="s">
        <v>404</v>
      </c>
    </row>
    <row r="850" spans="1:1" x14ac:dyDescent="0.25">
      <c r="A850" s="24" t="s">
        <v>405</v>
      </c>
    </row>
    <row r="851" spans="1:1" x14ac:dyDescent="0.25">
      <c r="A851" s="24" t="s">
        <v>406</v>
      </c>
    </row>
    <row r="852" spans="1:1" x14ac:dyDescent="0.25">
      <c r="A852" s="24" t="s">
        <v>407</v>
      </c>
    </row>
    <row r="853" spans="1:1" x14ac:dyDescent="0.25">
      <c r="A853" s="24" t="s">
        <v>408</v>
      </c>
    </row>
    <row r="854" spans="1:1" x14ac:dyDescent="0.25">
      <c r="A854" s="24" t="s">
        <v>409</v>
      </c>
    </row>
    <row r="855" spans="1:1" x14ac:dyDescent="0.25">
      <c r="A855" s="24" t="s">
        <v>410</v>
      </c>
    </row>
    <row r="856" spans="1:1" x14ac:dyDescent="0.25">
      <c r="A856" s="24" t="s">
        <v>411</v>
      </c>
    </row>
    <row r="857" spans="1:1" x14ac:dyDescent="0.25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ancos"/>
  <dimension ref="A1:L23"/>
  <sheetViews>
    <sheetView workbookViewId="0">
      <selection activeCell="F4" sqref="F4"/>
    </sheetView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 x14ac:dyDescent="0.3">
      <c r="A1" s="36" t="s">
        <v>906</v>
      </c>
      <c r="B1" s="248" t="s">
        <v>905</v>
      </c>
      <c r="C1" s="249"/>
      <c r="D1" s="36" t="s">
        <v>906</v>
      </c>
      <c r="E1" s="250" t="s">
        <v>907</v>
      </c>
      <c r="F1" s="251"/>
      <c r="G1" s="36" t="s">
        <v>906</v>
      </c>
      <c r="H1" s="55" t="s">
        <v>923</v>
      </c>
      <c r="I1" s="56" t="s">
        <v>924</v>
      </c>
      <c r="J1" s="36" t="s">
        <v>906</v>
      </c>
      <c r="K1" s="33" t="s">
        <v>1054</v>
      </c>
      <c r="L1" s="33" t="s">
        <v>1055</v>
      </c>
    </row>
    <row r="2" spans="1:12" x14ac:dyDescent="0.25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4" t="s">
        <v>925</v>
      </c>
      <c r="I2" s="54" t="s">
        <v>926</v>
      </c>
    </row>
    <row r="3" spans="1:12" x14ac:dyDescent="0.25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3" t="s">
        <v>911</v>
      </c>
      <c r="I3" s="53" t="s">
        <v>927</v>
      </c>
    </row>
    <row r="4" spans="1:12" x14ac:dyDescent="0.25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getPath(rngBanco)</f>
        <v>C:\Users\a.dasilva\Desktop\vendas\db\</v>
      </c>
      <c r="H4" s="53" t="s">
        <v>928</v>
      </c>
      <c r="I4" s="53" t="s">
        <v>929</v>
      </c>
    </row>
    <row r="5" spans="1:12" x14ac:dyDescent="0.25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getFileNameAndExt(rngBanco)</f>
        <v>dbOrcamentos.mdb</v>
      </c>
      <c r="H5" s="53" t="s">
        <v>910</v>
      </c>
      <c r="I5" s="53" t="s">
        <v>930</v>
      </c>
    </row>
    <row r="6" spans="1:12" x14ac:dyDescent="0.25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3" t="s">
        <v>931</v>
      </c>
      <c r="I6" s="53" t="s">
        <v>932</v>
      </c>
    </row>
    <row r="7" spans="1:12" x14ac:dyDescent="0.25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3" t="s">
        <v>970</v>
      </c>
      <c r="I7" s="53" t="s">
        <v>930</v>
      </c>
    </row>
    <row r="8" spans="1:12" ht="15.75" thickBot="1" x14ac:dyDescent="0.3">
      <c r="A8" s="36"/>
      <c r="B8" s="41" t="s">
        <v>922</v>
      </c>
      <c r="C8" s="42">
        <v>3306</v>
      </c>
      <c r="D8" s="36"/>
      <c r="E8" s="41" t="s">
        <v>922</v>
      </c>
      <c r="F8" s="42"/>
      <c r="H8" s="53"/>
      <c r="I8" s="53"/>
    </row>
    <row r="9" spans="1:12" x14ac:dyDescent="0.25">
      <c r="H9" s="53"/>
      <c r="I9" s="53"/>
    </row>
    <row r="10" spans="1:12" x14ac:dyDescent="0.25">
      <c r="H10" s="53"/>
      <c r="I10" s="53"/>
    </row>
    <row r="11" spans="1:12" x14ac:dyDescent="0.25">
      <c r="C11" s="33" t="s">
        <v>1053</v>
      </c>
      <c r="H11" s="53"/>
      <c r="I11" s="53"/>
    </row>
    <row r="12" spans="1:12" x14ac:dyDescent="0.25">
      <c r="B12" t="s">
        <v>912</v>
      </c>
      <c r="C12" t="s">
        <v>913</v>
      </c>
      <c r="E12" s="115"/>
      <c r="F12" s="115"/>
      <c r="H12" s="53"/>
      <c r="I12" s="53"/>
    </row>
    <row r="13" spans="1:12" x14ac:dyDescent="0.25">
      <c r="B13" t="s">
        <v>914</v>
      </c>
      <c r="C13" t="s">
        <v>915</v>
      </c>
      <c r="E13" s="116"/>
      <c r="F13" s="116"/>
    </row>
    <row r="14" spans="1:12" x14ac:dyDescent="0.25">
      <c r="B14" t="s">
        <v>916</v>
      </c>
      <c r="C14" t="s">
        <v>917</v>
      </c>
      <c r="E14" s="115"/>
      <c r="F14" s="115"/>
    </row>
    <row r="15" spans="1:12" x14ac:dyDescent="0.25">
      <c r="B15" t="s">
        <v>919</v>
      </c>
      <c r="C15" t="s">
        <v>920</v>
      </c>
      <c r="E15" s="115"/>
      <c r="F15" s="115"/>
    </row>
    <row r="16" spans="1:12" x14ac:dyDescent="0.25">
      <c r="B16" t="s">
        <v>922</v>
      </c>
      <c r="C16">
        <v>3306</v>
      </c>
      <c r="E16" s="116"/>
      <c r="F16" s="116"/>
    </row>
    <row r="18" spans="2:3" x14ac:dyDescent="0.25">
      <c r="C18" s="33" t="s">
        <v>1052</v>
      </c>
    </row>
    <row r="19" spans="2:3" x14ac:dyDescent="0.25">
      <c r="B19" t="s">
        <v>912</v>
      </c>
      <c r="C19" t="s">
        <v>960</v>
      </c>
    </row>
    <row r="20" spans="2:3" x14ac:dyDescent="0.25">
      <c r="B20" t="s">
        <v>914</v>
      </c>
      <c r="C20" t="s">
        <v>959</v>
      </c>
    </row>
    <row r="21" spans="2:3" x14ac:dyDescent="0.25">
      <c r="B21" t="s">
        <v>916</v>
      </c>
      <c r="C21" t="s">
        <v>958</v>
      </c>
    </row>
    <row r="22" spans="2:3" x14ac:dyDescent="0.25">
      <c r="B22" t="s">
        <v>919</v>
      </c>
      <c r="C22" t="s">
        <v>920</v>
      </c>
    </row>
    <row r="23" spans="2:3" x14ac:dyDescent="0.25">
      <c r="B23" t="s">
        <v>922</v>
      </c>
      <c r="C23">
        <v>3306</v>
      </c>
    </row>
  </sheetData>
  <mergeCells count="2">
    <mergeCell ref="B1:C1"/>
    <mergeCell ref="E1:F1"/>
  </mergeCells>
  <dataValidations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 x14ac:dyDescent="0.25">
      <c r="S1" s="252" t="s">
        <v>1013</v>
      </c>
      <c r="T1" s="252"/>
      <c r="U1" s="252"/>
    </row>
    <row r="2" spans="1:29" ht="21" x14ac:dyDescent="0.25">
      <c r="B2" s="246" t="s">
        <v>496</v>
      </c>
      <c r="C2" s="246"/>
      <c r="D2" s="246"/>
      <c r="G2" s="246" t="s">
        <v>1008</v>
      </c>
      <c r="H2" s="246"/>
      <c r="I2" s="246"/>
      <c r="J2" s="246"/>
      <c r="L2" s="246" t="s">
        <v>1011</v>
      </c>
      <c r="M2" s="246"/>
      <c r="N2" s="246"/>
      <c r="O2" s="246"/>
      <c r="P2" s="246"/>
      <c r="S2" s="252" t="s">
        <v>1014</v>
      </c>
      <c r="T2" s="252"/>
      <c r="U2" s="252"/>
      <c r="X2" s="253" t="s">
        <v>1027</v>
      </c>
      <c r="Y2" s="254"/>
      <c r="Z2" s="254"/>
      <c r="AA2" s="254"/>
      <c r="AB2" s="254"/>
      <c r="AC2" s="255"/>
    </row>
    <row r="3" spans="1:29" ht="15.75" x14ac:dyDescent="0.3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3" t="s">
        <v>1015</v>
      </c>
      <c r="T3" s="133" t="s">
        <v>1016</v>
      </c>
      <c r="U3" s="133" t="s">
        <v>1017</v>
      </c>
      <c r="X3" s="53" t="s">
        <v>1030</v>
      </c>
      <c r="Y3" s="138" t="s">
        <v>1033</v>
      </c>
      <c r="Z3" s="53" t="s">
        <v>1031</v>
      </c>
      <c r="AA3" s="53" t="s">
        <v>1028</v>
      </c>
      <c r="AB3" s="53" t="s">
        <v>1029</v>
      </c>
      <c r="AC3" s="53" t="s">
        <v>1032</v>
      </c>
    </row>
    <row r="4" spans="1:29" x14ac:dyDescent="0.25">
      <c r="A4" s="53">
        <v>11</v>
      </c>
      <c r="B4" s="118" t="s">
        <v>991</v>
      </c>
      <c r="C4" s="125" t="s">
        <v>982</v>
      </c>
      <c r="D4" s="125" t="s">
        <v>983</v>
      </c>
      <c r="E4" s="131" t="s">
        <v>1004</v>
      </c>
      <c r="G4" s="117">
        <v>4</v>
      </c>
      <c r="H4" s="147">
        <v>460</v>
      </c>
      <c r="I4" s="53" t="s">
        <v>933</v>
      </c>
      <c r="J4" s="129" t="s">
        <v>1003</v>
      </c>
      <c r="L4" s="53" t="s">
        <v>1035</v>
      </c>
      <c r="M4" s="141">
        <f>(P4-N4)/(1-O4)</f>
        <v>3738.116129032258</v>
      </c>
      <c r="N4" s="142">
        <v>602.96</v>
      </c>
      <c r="O4" s="143">
        <v>0.22500000000000001</v>
      </c>
      <c r="P4" s="132">
        <v>3500</v>
      </c>
      <c r="S4" s="134" t="s">
        <v>1018</v>
      </c>
      <c r="T4" s="135" t="s">
        <v>1019</v>
      </c>
      <c r="U4" s="135" t="s">
        <v>1019</v>
      </c>
      <c r="X4" s="53">
        <v>1000</v>
      </c>
      <c r="Y4" s="138">
        <v>5786</v>
      </c>
      <c r="Z4" s="140">
        <f>(Y4+(360*4))/X4</f>
        <v>7.226</v>
      </c>
      <c r="AA4" s="132">
        <v>1.85</v>
      </c>
      <c r="AB4" s="139">
        <f>AA4*Z4</f>
        <v>13.3681</v>
      </c>
      <c r="AC4" s="139">
        <f>AB4*X4</f>
        <v>13368.1</v>
      </c>
    </row>
    <row r="5" spans="1:29" x14ac:dyDescent="0.25">
      <c r="A5" s="53">
        <v>12</v>
      </c>
      <c r="B5" s="118" t="s">
        <v>992</v>
      </c>
      <c r="C5" s="122" t="s">
        <v>977</v>
      </c>
      <c r="D5" s="123" t="s">
        <v>978</v>
      </c>
      <c r="E5" s="130" t="s">
        <v>1003</v>
      </c>
      <c r="G5" s="117">
        <v>8</v>
      </c>
      <c r="H5" s="147">
        <v>860</v>
      </c>
      <c r="I5" s="118" t="s">
        <v>933</v>
      </c>
      <c r="J5" s="129" t="s">
        <v>1003</v>
      </c>
      <c r="L5" s="53" t="s">
        <v>1037</v>
      </c>
      <c r="M5" s="141">
        <f>(P5-N5)/(1-O5)</f>
        <v>1799.9675675675676</v>
      </c>
      <c r="N5" s="142">
        <v>335.03</v>
      </c>
      <c r="O5" s="143">
        <v>7.4999999999999997E-2</v>
      </c>
      <c r="P5" s="132">
        <v>2000</v>
      </c>
      <c r="S5" s="134" t="s">
        <v>1020</v>
      </c>
      <c r="T5" s="135" t="s">
        <v>1021</v>
      </c>
      <c r="U5" s="136">
        <v>134.08000000000001</v>
      </c>
      <c r="X5" s="53">
        <v>2000</v>
      </c>
      <c r="Y5" s="138">
        <v>10307</v>
      </c>
      <c r="Z5" s="140">
        <f>(Y5+(360*4))/X5</f>
        <v>5.8734999999999999</v>
      </c>
      <c r="AA5" s="132">
        <v>1.85</v>
      </c>
      <c r="AB5" s="139">
        <f>AA5*Z5</f>
        <v>10.865975000000001</v>
      </c>
      <c r="AC5" s="139">
        <f>AB5*X5</f>
        <v>21731.95</v>
      </c>
    </row>
    <row r="6" spans="1:29" x14ac:dyDescent="0.25">
      <c r="A6" s="53">
        <v>18</v>
      </c>
      <c r="B6" s="118" t="s">
        <v>1000</v>
      </c>
      <c r="C6" s="127" t="s">
        <v>986</v>
      </c>
      <c r="D6" s="127" t="s">
        <v>987</v>
      </c>
      <c r="E6" s="130" t="s">
        <v>1003</v>
      </c>
      <c r="G6" s="117">
        <v>12</v>
      </c>
      <c r="H6" s="147">
        <v>1260</v>
      </c>
      <c r="I6" s="118" t="s">
        <v>933</v>
      </c>
      <c r="J6" s="129" t="s">
        <v>1003</v>
      </c>
      <c r="M6" s="256" t="s">
        <v>1047</v>
      </c>
      <c r="N6" s="256"/>
      <c r="O6" s="256"/>
      <c r="S6" s="134" t="s">
        <v>1022</v>
      </c>
      <c r="T6" s="137">
        <v>15</v>
      </c>
      <c r="U6" s="135">
        <v>335.03</v>
      </c>
      <c r="X6" s="53">
        <v>3000</v>
      </c>
      <c r="Y6" s="138">
        <v>13638</v>
      </c>
      <c r="Z6" s="140">
        <f>(Y6+(360*4))/X6</f>
        <v>5.0259999999999998</v>
      </c>
      <c r="AA6" s="132">
        <v>1.85</v>
      </c>
      <c r="AB6" s="139">
        <f>AA6*Z6</f>
        <v>9.2980999999999998</v>
      </c>
      <c r="AC6" s="139">
        <f>AB6*X6</f>
        <v>27894.3</v>
      </c>
    </row>
    <row r="7" spans="1:29" x14ac:dyDescent="0.25">
      <c r="A7" s="53">
        <v>19</v>
      </c>
      <c r="B7" s="118" t="s">
        <v>1001</v>
      </c>
      <c r="C7" s="127" t="s">
        <v>999</v>
      </c>
      <c r="D7" s="127" t="s">
        <v>986</v>
      </c>
      <c r="E7" s="130" t="s">
        <v>1003</v>
      </c>
      <c r="G7" s="117">
        <v>16</v>
      </c>
      <c r="H7" s="147">
        <v>1710</v>
      </c>
      <c r="I7" s="118" t="s">
        <v>933</v>
      </c>
      <c r="J7" s="129" t="s">
        <v>1003</v>
      </c>
      <c r="S7" s="134" t="s">
        <v>1023</v>
      </c>
      <c r="T7" s="135" t="s">
        <v>1024</v>
      </c>
      <c r="U7" s="135">
        <v>602.96</v>
      </c>
      <c r="X7" s="53">
        <v>5000</v>
      </c>
      <c r="Y7" s="138">
        <v>20382</v>
      </c>
      <c r="Z7" s="140">
        <f>(Y7+(360*4))/X7</f>
        <v>4.3643999999999998</v>
      </c>
      <c r="AA7" s="132">
        <v>1.85</v>
      </c>
      <c r="AB7" s="139">
        <f>AA7*Z7</f>
        <v>8.0741399999999999</v>
      </c>
      <c r="AC7" s="139">
        <f>AB7*X7</f>
        <v>40370.699999999997</v>
      </c>
    </row>
    <row r="8" spans="1:29" x14ac:dyDescent="0.25">
      <c r="A8" s="53">
        <v>1</v>
      </c>
      <c r="B8" s="118" t="s">
        <v>971</v>
      </c>
      <c r="C8" s="122" t="s">
        <v>972</v>
      </c>
      <c r="D8" s="122" t="s">
        <v>973</v>
      </c>
      <c r="E8" s="130" t="s">
        <v>1003</v>
      </c>
      <c r="G8" s="117">
        <v>20</v>
      </c>
      <c r="H8" s="147">
        <v>2110</v>
      </c>
      <c r="I8" s="118" t="s">
        <v>933</v>
      </c>
      <c r="J8" s="129" t="s">
        <v>1003</v>
      </c>
      <c r="S8" s="134" t="s">
        <v>1025</v>
      </c>
      <c r="T8" s="135" t="s">
        <v>1026</v>
      </c>
      <c r="U8" s="135">
        <v>826.15</v>
      </c>
      <c r="Z8" s="144" t="s">
        <v>1047</v>
      </c>
      <c r="AB8" s="256" t="s">
        <v>1047</v>
      </c>
      <c r="AC8" s="256"/>
    </row>
    <row r="9" spans="1:29" x14ac:dyDescent="0.25">
      <c r="A9" s="53">
        <v>16</v>
      </c>
      <c r="B9" s="118" t="s">
        <v>997</v>
      </c>
      <c r="C9" s="128" t="s">
        <v>986</v>
      </c>
      <c r="D9" s="128" t="s">
        <v>987</v>
      </c>
      <c r="E9" s="130" t="s">
        <v>1003</v>
      </c>
      <c r="G9" s="117">
        <v>24</v>
      </c>
      <c r="H9" s="147">
        <v>2560</v>
      </c>
      <c r="I9" s="118" t="s">
        <v>933</v>
      </c>
      <c r="J9" s="129" t="s">
        <v>1003</v>
      </c>
    </row>
    <row r="10" spans="1:29" x14ac:dyDescent="0.25">
      <c r="A10" s="53">
        <v>17</v>
      </c>
      <c r="B10" s="118" t="s">
        <v>998</v>
      </c>
      <c r="C10" s="127" t="s">
        <v>999</v>
      </c>
      <c r="D10" s="127" t="s">
        <v>986</v>
      </c>
      <c r="E10" s="130" t="s">
        <v>1003</v>
      </c>
      <c r="G10" s="117">
        <v>28</v>
      </c>
      <c r="H10" s="147">
        <v>2961</v>
      </c>
      <c r="I10" s="118" t="s">
        <v>933</v>
      </c>
      <c r="J10" s="129" t="s">
        <v>1003</v>
      </c>
    </row>
    <row r="11" spans="1:29" x14ac:dyDescent="0.25">
      <c r="A11" s="53">
        <v>20</v>
      </c>
      <c r="B11" s="118" t="s">
        <v>1002</v>
      </c>
      <c r="C11" s="127" t="s">
        <v>986</v>
      </c>
      <c r="D11" s="127" t="s">
        <v>986</v>
      </c>
      <c r="E11" s="130" t="s">
        <v>1003</v>
      </c>
      <c r="G11" s="117">
        <v>32</v>
      </c>
      <c r="H11" s="147">
        <v>3370</v>
      </c>
      <c r="I11" s="118" t="s">
        <v>933</v>
      </c>
      <c r="J11" s="129" t="s">
        <v>1003</v>
      </c>
    </row>
    <row r="12" spans="1:29" x14ac:dyDescent="0.25">
      <c r="A12" s="53">
        <v>13</v>
      </c>
      <c r="B12" s="118" t="s">
        <v>993</v>
      </c>
      <c r="C12" s="124" t="s">
        <v>972</v>
      </c>
      <c r="D12" s="124" t="s">
        <v>982</v>
      </c>
      <c r="E12" s="130" t="s">
        <v>1003</v>
      </c>
      <c r="G12" s="117">
        <v>36</v>
      </c>
      <c r="H12" s="147">
        <v>3791</v>
      </c>
      <c r="I12" s="118" t="s">
        <v>933</v>
      </c>
      <c r="J12" s="129" t="s">
        <v>1003</v>
      </c>
    </row>
    <row r="13" spans="1:29" x14ac:dyDescent="0.25">
      <c r="A13" s="53">
        <v>15</v>
      </c>
      <c r="B13" s="118" t="s">
        <v>996</v>
      </c>
      <c r="C13" s="124" t="s">
        <v>986</v>
      </c>
      <c r="D13" s="124" t="s">
        <v>987</v>
      </c>
      <c r="E13" s="53"/>
      <c r="G13" s="117">
        <v>40</v>
      </c>
      <c r="H13" s="147">
        <v>4210</v>
      </c>
      <c r="I13" s="118" t="s">
        <v>933</v>
      </c>
      <c r="J13" s="129" t="s">
        <v>1003</v>
      </c>
    </row>
    <row r="14" spans="1:29" x14ac:dyDescent="0.25">
      <c r="A14" s="53">
        <v>14</v>
      </c>
      <c r="B14" s="118" t="s">
        <v>994</v>
      </c>
      <c r="C14" s="127" t="s">
        <v>983</v>
      </c>
      <c r="D14" s="125" t="s">
        <v>995</v>
      </c>
      <c r="E14" s="130" t="s">
        <v>1003</v>
      </c>
      <c r="G14" s="117">
        <v>44</v>
      </c>
      <c r="H14" s="147">
        <v>4631</v>
      </c>
      <c r="I14" s="118" t="s">
        <v>933</v>
      </c>
      <c r="J14" s="129" t="s">
        <v>1003</v>
      </c>
    </row>
    <row r="15" spans="1:29" x14ac:dyDescent="0.25">
      <c r="A15" s="53">
        <v>6</v>
      </c>
      <c r="B15" s="118" t="s">
        <v>980</v>
      </c>
      <c r="C15" s="126" t="s">
        <v>972</v>
      </c>
      <c r="D15" s="123" t="s">
        <v>973</v>
      </c>
      <c r="E15" s="131" t="s">
        <v>1004</v>
      </c>
      <c r="G15" s="117">
        <v>48</v>
      </c>
      <c r="H15" s="147">
        <v>5052</v>
      </c>
      <c r="I15" s="118" t="s">
        <v>933</v>
      </c>
      <c r="J15" s="129" t="s">
        <v>1003</v>
      </c>
    </row>
    <row r="16" spans="1:29" x14ac:dyDescent="0.25">
      <c r="A16" s="53">
        <v>9</v>
      </c>
      <c r="B16" s="118" t="s">
        <v>985</v>
      </c>
      <c r="C16" s="125" t="s">
        <v>986</v>
      </c>
      <c r="D16" s="125" t="s">
        <v>987</v>
      </c>
      <c r="E16" s="53"/>
      <c r="G16" s="117">
        <v>4</v>
      </c>
      <c r="H16" s="147">
        <v>160</v>
      </c>
      <c r="I16" s="118" t="s">
        <v>934</v>
      </c>
      <c r="J16" s="129" t="s">
        <v>1003</v>
      </c>
    </row>
    <row r="17" spans="1:10" x14ac:dyDescent="0.25">
      <c r="A17" s="53">
        <v>10</v>
      </c>
      <c r="B17" s="118" t="s">
        <v>988</v>
      </c>
      <c r="C17" s="125" t="s">
        <v>989</v>
      </c>
      <c r="D17" s="125" t="s">
        <v>990</v>
      </c>
      <c r="E17" s="53"/>
      <c r="G17" s="117">
        <v>8</v>
      </c>
      <c r="H17" s="147">
        <v>310</v>
      </c>
      <c r="I17" s="118" t="s">
        <v>934</v>
      </c>
      <c r="J17" s="129" t="s">
        <v>1003</v>
      </c>
    </row>
    <row r="18" spans="1:10" x14ac:dyDescent="0.25">
      <c r="A18" s="53">
        <v>8</v>
      </c>
      <c r="B18" s="118" t="s">
        <v>984</v>
      </c>
      <c r="C18" s="126" t="s">
        <v>978</v>
      </c>
      <c r="D18" s="123" t="s">
        <v>982</v>
      </c>
      <c r="E18" s="53"/>
      <c r="G18" s="117">
        <v>12</v>
      </c>
      <c r="H18" s="147">
        <v>430</v>
      </c>
      <c r="I18" s="118" t="s">
        <v>934</v>
      </c>
      <c r="J18" s="129" t="s">
        <v>1003</v>
      </c>
    </row>
    <row r="19" spans="1:10" x14ac:dyDescent="0.25">
      <c r="A19" s="53">
        <v>7</v>
      </c>
      <c r="B19" s="118" t="s">
        <v>981</v>
      </c>
      <c r="C19" s="126" t="s">
        <v>982</v>
      </c>
      <c r="D19" s="123" t="s">
        <v>983</v>
      </c>
      <c r="E19" s="130" t="s">
        <v>1003</v>
      </c>
      <c r="G19" s="117">
        <v>16</v>
      </c>
      <c r="H19" s="147">
        <v>570</v>
      </c>
      <c r="I19" s="118" t="s">
        <v>934</v>
      </c>
      <c r="J19" s="129" t="s">
        <v>1003</v>
      </c>
    </row>
    <row r="20" spans="1:10" x14ac:dyDescent="0.25">
      <c r="A20" s="53">
        <v>5</v>
      </c>
      <c r="B20" s="118" t="s">
        <v>979</v>
      </c>
      <c r="C20" s="125" t="s">
        <v>977</v>
      </c>
      <c r="D20" s="123" t="s">
        <v>978</v>
      </c>
      <c r="E20" s="131" t="s">
        <v>1004</v>
      </c>
      <c r="G20" s="117">
        <v>20</v>
      </c>
      <c r="H20" s="147">
        <v>710</v>
      </c>
      <c r="I20" s="118" t="s">
        <v>934</v>
      </c>
      <c r="J20" s="129" t="s">
        <v>1003</v>
      </c>
    </row>
    <row r="21" spans="1:10" x14ac:dyDescent="0.25">
      <c r="A21" s="53">
        <v>2</v>
      </c>
      <c r="B21" s="118" t="s">
        <v>974</v>
      </c>
      <c r="C21" s="122" t="s">
        <v>972</v>
      </c>
      <c r="D21" s="123" t="s">
        <v>973</v>
      </c>
      <c r="E21" s="130" t="s">
        <v>1003</v>
      </c>
      <c r="G21" s="117">
        <v>24</v>
      </c>
      <c r="H21" s="147">
        <v>850</v>
      </c>
      <c r="I21" s="118" t="s">
        <v>934</v>
      </c>
      <c r="J21" s="129" t="s">
        <v>1003</v>
      </c>
    </row>
    <row r="22" spans="1:10" x14ac:dyDescent="0.25">
      <c r="A22" s="53">
        <v>4</v>
      </c>
      <c r="B22" s="118" t="s">
        <v>976</v>
      </c>
      <c r="C22" s="124" t="s">
        <v>977</v>
      </c>
      <c r="D22" s="124" t="s">
        <v>978</v>
      </c>
      <c r="E22" s="131" t="s">
        <v>1004</v>
      </c>
      <c r="G22" s="117">
        <v>28</v>
      </c>
      <c r="H22" s="147">
        <v>990</v>
      </c>
      <c r="I22" s="118" t="s">
        <v>934</v>
      </c>
      <c r="J22" s="129" t="s">
        <v>1003</v>
      </c>
    </row>
    <row r="23" spans="1:10" x14ac:dyDescent="0.25">
      <c r="A23" s="53">
        <v>3</v>
      </c>
      <c r="B23" s="118" t="s">
        <v>975</v>
      </c>
      <c r="C23" s="123" t="s">
        <v>972</v>
      </c>
      <c r="D23" s="123" t="s">
        <v>973</v>
      </c>
      <c r="E23" s="130" t="s">
        <v>1003</v>
      </c>
      <c r="G23" s="117">
        <v>32</v>
      </c>
      <c r="H23" s="147">
        <v>1130</v>
      </c>
      <c r="I23" s="118" t="s">
        <v>934</v>
      </c>
      <c r="J23" s="129" t="s">
        <v>1003</v>
      </c>
    </row>
    <row r="24" spans="1:10" x14ac:dyDescent="0.25">
      <c r="G24" s="117">
        <v>36</v>
      </c>
      <c r="H24" s="147">
        <v>1270</v>
      </c>
      <c r="I24" s="118" t="s">
        <v>934</v>
      </c>
      <c r="J24" s="129" t="s">
        <v>1003</v>
      </c>
    </row>
    <row r="25" spans="1:10" x14ac:dyDescent="0.25">
      <c r="G25" s="117">
        <v>40</v>
      </c>
      <c r="H25" s="147">
        <v>1410</v>
      </c>
      <c r="I25" s="118" t="s">
        <v>934</v>
      </c>
      <c r="J25" s="129" t="s">
        <v>1003</v>
      </c>
    </row>
    <row r="26" spans="1:10" x14ac:dyDescent="0.25">
      <c r="G26" s="117">
        <v>44</v>
      </c>
      <c r="H26" s="147">
        <v>1551</v>
      </c>
      <c r="I26" s="118" t="s">
        <v>934</v>
      </c>
      <c r="J26" s="129" t="s">
        <v>1003</v>
      </c>
    </row>
    <row r="27" spans="1:10" x14ac:dyDescent="0.25">
      <c r="G27" s="117">
        <v>48</v>
      </c>
      <c r="H27" s="147">
        <v>1692</v>
      </c>
      <c r="I27" s="118" t="s">
        <v>934</v>
      </c>
      <c r="J27" s="129" t="s">
        <v>1003</v>
      </c>
    </row>
    <row r="28" spans="1:10" x14ac:dyDescent="0.25">
      <c r="G28" s="117">
        <v>4</v>
      </c>
      <c r="H28" s="147">
        <v>210</v>
      </c>
      <c r="I28" s="118" t="s">
        <v>935</v>
      </c>
      <c r="J28" s="129" t="s">
        <v>1003</v>
      </c>
    </row>
    <row r="29" spans="1:10" x14ac:dyDescent="0.25">
      <c r="G29" s="117">
        <v>8</v>
      </c>
      <c r="H29" s="147">
        <v>370</v>
      </c>
      <c r="I29" s="118" t="s">
        <v>935</v>
      </c>
      <c r="J29" s="129" t="s">
        <v>1003</v>
      </c>
    </row>
    <row r="30" spans="1:10" x14ac:dyDescent="0.25">
      <c r="G30" s="117">
        <v>12</v>
      </c>
      <c r="H30" s="147">
        <v>560</v>
      </c>
      <c r="I30" s="118" t="s">
        <v>935</v>
      </c>
      <c r="J30" s="129" t="s">
        <v>1003</v>
      </c>
    </row>
    <row r="31" spans="1:10" x14ac:dyDescent="0.25">
      <c r="G31" s="117">
        <v>16</v>
      </c>
      <c r="H31" s="147">
        <v>730</v>
      </c>
      <c r="I31" s="118" t="s">
        <v>935</v>
      </c>
      <c r="J31" s="129" t="s">
        <v>1003</v>
      </c>
    </row>
    <row r="32" spans="1:10" x14ac:dyDescent="0.25">
      <c r="G32" s="117">
        <v>20</v>
      </c>
      <c r="H32" s="147">
        <v>910</v>
      </c>
      <c r="I32" s="118" t="s">
        <v>935</v>
      </c>
      <c r="J32" s="129" t="s">
        <v>1003</v>
      </c>
    </row>
    <row r="33" spans="7:10" x14ac:dyDescent="0.25">
      <c r="G33" s="117">
        <v>24</v>
      </c>
      <c r="H33" s="147">
        <v>1110</v>
      </c>
      <c r="I33" s="118" t="s">
        <v>935</v>
      </c>
      <c r="J33" s="129" t="s">
        <v>1003</v>
      </c>
    </row>
    <row r="34" spans="7:10" x14ac:dyDescent="0.25">
      <c r="G34" s="117">
        <v>28</v>
      </c>
      <c r="H34" s="147">
        <v>1270</v>
      </c>
      <c r="I34" s="118" t="s">
        <v>935</v>
      </c>
      <c r="J34" s="129" t="s">
        <v>1003</v>
      </c>
    </row>
    <row r="35" spans="7:10" x14ac:dyDescent="0.25">
      <c r="G35" s="117">
        <v>32</v>
      </c>
      <c r="H35" s="147">
        <v>1461</v>
      </c>
      <c r="I35" s="118" t="s">
        <v>935</v>
      </c>
      <c r="J35" s="129" t="s">
        <v>1003</v>
      </c>
    </row>
    <row r="36" spans="7:10" x14ac:dyDescent="0.25">
      <c r="G36" s="117">
        <v>36</v>
      </c>
      <c r="H36" s="147">
        <v>1631</v>
      </c>
      <c r="I36" s="118" t="s">
        <v>935</v>
      </c>
      <c r="J36" s="129" t="s">
        <v>1003</v>
      </c>
    </row>
    <row r="37" spans="7:10" x14ac:dyDescent="0.25">
      <c r="G37" s="117">
        <v>40</v>
      </c>
      <c r="H37" s="147">
        <v>1810</v>
      </c>
      <c r="I37" s="118" t="s">
        <v>935</v>
      </c>
      <c r="J37" s="129" t="s">
        <v>1003</v>
      </c>
    </row>
    <row r="38" spans="7:10" x14ac:dyDescent="0.25">
      <c r="G38" s="117">
        <v>44</v>
      </c>
      <c r="H38" s="147">
        <v>2011</v>
      </c>
      <c r="I38" s="118" t="s">
        <v>935</v>
      </c>
      <c r="J38" s="129" t="s">
        <v>1003</v>
      </c>
    </row>
    <row r="39" spans="7:10" x14ac:dyDescent="0.25">
      <c r="G39" s="117">
        <v>48</v>
      </c>
      <c r="H39" s="147">
        <v>2210</v>
      </c>
      <c r="I39" s="118" t="s">
        <v>935</v>
      </c>
      <c r="J39" s="129" t="s">
        <v>1003</v>
      </c>
    </row>
    <row r="40" spans="7:10" x14ac:dyDescent="0.25">
      <c r="G40" s="119">
        <v>1</v>
      </c>
      <c r="H40" s="148">
        <v>40</v>
      </c>
      <c r="I40" s="120" t="s">
        <v>933</v>
      </c>
      <c r="J40" s="131" t="s">
        <v>1004</v>
      </c>
    </row>
    <row r="41" spans="7:10" x14ac:dyDescent="0.25">
      <c r="G41" s="119">
        <v>1</v>
      </c>
      <c r="H41" s="148">
        <v>35</v>
      </c>
      <c r="I41" s="120" t="s">
        <v>934</v>
      </c>
      <c r="J41" s="131" t="s">
        <v>1004</v>
      </c>
    </row>
    <row r="42" spans="7:10" x14ac:dyDescent="0.25">
      <c r="G42" s="119">
        <v>1</v>
      </c>
      <c r="H42" s="148">
        <v>50</v>
      </c>
      <c r="I42" s="120" t="s">
        <v>935</v>
      </c>
      <c r="J42" s="131" t="s">
        <v>1004</v>
      </c>
    </row>
    <row r="43" spans="7:10" x14ac:dyDescent="0.25">
      <c r="G43" s="119">
        <v>1</v>
      </c>
      <c r="H43" s="148">
        <v>150</v>
      </c>
      <c r="I43" s="121" t="s">
        <v>1038</v>
      </c>
      <c r="J43" s="131" t="s">
        <v>1004</v>
      </c>
    </row>
    <row r="44" spans="7:10" x14ac:dyDescent="0.25">
      <c r="G44" s="119">
        <v>1</v>
      </c>
      <c r="H44" s="148">
        <v>180</v>
      </c>
      <c r="I44" s="121" t="s">
        <v>1039</v>
      </c>
      <c r="J44" s="131" t="s">
        <v>1004</v>
      </c>
    </row>
    <row r="45" spans="7:10" x14ac:dyDescent="0.25">
      <c r="G45" s="119">
        <v>1</v>
      </c>
      <c r="H45" s="148">
        <v>800</v>
      </c>
      <c r="I45" s="121" t="s">
        <v>1040</v>
      </c>
      <c r="J45" s="131" t="s">
        <v>1004</v>
      </c>
    </row>
    <row r="46" spans="7:10" x14ac:dyDescent="0.25">
      <c r="G46" s="119">
        <v>1</v>
      </c>
      <c r="H46" s="148">
        <v>200</v>
      </c>
      <c r="I46" s="121" t="s">
        <v>1041</v>
      </c>
      <c r="J46" s="131" t="s">
        <v>1004</v>
      </c>
    </row>
    <row r="47" spans="7:10" x14ac:dyDescent="0.25">
      <c r="G47" s="119">
        <v>1</v>
      </c>
      <c r="H47" s="148">
        <v>1000</v>
      </c>
      <c r="I47" s="121" t="s">
        <v>1042</v>
      </c>
      <c r="J47" s="131" t="s">
        <v>1004</v>
      </c>
    </row>
    <row r="48" spans="7:10" x14ac:dyDescent="0.25">
      <c r="G48" s="119">
        <v>1</v>
      </c>
      <c r="H48" s="148">
        <v>200</v>
      </c>
      <c r="I48" s="121" t="s">
        <v>1043</v>
      </c>
      <c r="J48" s="131" t="s">
        <v>1004</v>
      </c>
    </row>
    <row r="49" spans="7:10" x14ac:dyDescent="0.25">
      <c r="G49" s="119">
        <v>1</v>
      </c>
      <c r="H49" s="148">
        <v>1000</v>
      </c>
      <c r="I49" s="121" t="s">
        <v>1044</v>
      </c>
      <c r="J49" s="131" t="s">
        <v>1004</v>
      </c>
    </row>
    <row r="50" spans="7:10" x14ac:dyDescent="0.25">
      <c r="G50" s="119">
        <v>1</v>
      </c>
      <c r="H50" s="148">
        <v>13</v>
      </c>
      <c r="I50" s="121" t="s">
        <v>1045</v>
      </c>
      <c r="J50" s="131" t="s">
        <v>1004</v>
      </c>
    </row>
    <row r="51" spans="7:10" x14ac:dyDescent="0.25">
      <c r="G51" s="119">
        <v>1</v>
      </c>
      <c r="H51" s="148">
        <v>18</v>
      </c>
      <c r="I51" s="121" t="s">
        <v>1046</v>
      </c>
      <c r="J51" s="131" t="s">
        <v>1004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 x14ac:dyDescent="0.25">
      <c r="H1" s="252" t="s">
        <v>1013</v>
      </c>
      <c r="I1" s="252"/>
      <c r="J1" s="252"/>
    </row>
    <row r="2" spans="2:17" ht="21" x14ac:dyDescent="0.25">
      <c r="B2" s="246" t="s">
        <v>1011</v>
      </c>
      <c r="C2" s="246"/>
      <c r="D2" s="246"/>
      <c r="E2" s="246"/>
      <c r="F2" s="246"/>
      <c r="H2" s="252" t="s">
        <v>1014</v>
      </c>
      <c r="I2" s="252"/>
      <c r="J2" s="252"/>
      <c r="L2" s="253" t="s">
        <v>1027</v>
      </c>
      <c r="M2" s="254"/>
      <c r="N2" s="254"/>
      <c r="O2" s="254"/>
      <c r="P2" s="254"/>
      <c r="Q2" s="255"/>
    </row>
    <row r="3" spans="2:17" ht="15.75" x14ac:dyDescent="0.3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3" t="s">
        <v>1015</v>
      </c>
      <c r="I3" s="133" t="s">
        <v>1016</v>
      </c>
      <c r="J3" s="133" t="s">
        <v>1017</v>
      </c>
      <c r="L3" s="53" t="s">
        <v>1030</v>
      </c>
      <c r="M3" s="138" t="s">
        <v>1033</v>
      </c>
      <c r="N3" s="53" t="s">
        <v>1031</v>
      </c>
      <c r="O3" s="53" t="s">
        <v>1028</v>
      </c>
      <c r="P3" s="53" t="s">
        <v>1029</v>
      </c>
      <c r="Q3" s="53" t="s">
        <v>1032</v>
      </c>
    </row>
    <row r="4" spans="2:17" x14ac:dyDescent="0.25">
      <c r="B4" s="53" t="s">
        <v>1035</v>
      </c>
      <c r="C4" s="132">
        <v>3500</v>
      </c>
      <c r="D4" s="141">
        <f>(C4-E4)/(1-F4)</f>
        <v>3738.116129032258</v>
      </c>
      <c r="E4" s="142">
        <v>602.96</v>
      </c>
      <c r="F4" s="143">
        <v>0.22500000000000001</v>
      </c>
      <c r="H4" s="134" t="s">
        <v>1018</v>
      </c>
      <c r="I4" s="135" t="s">
        <v>1019</v>
      </c>
      <c r="J4" s="135" t="s">
        <v>1019</v>
      </c>
      <c r="L4" s="53">
        <v>1000</v>
      </c>
      <c r="M4" s="138">
        <v>5786</v>
      </c>
      <c r="N4" s="140">
        <f>(M4+(360*4))/L4</f>
        <v>7.226</v>
      </c>
      <c r="O4" s="132">
        <v>1.85</v>
      </c>
      <c r="P4" s="139">
        <f>O4*N4</f>
        <v>13.3681</v>
      </c>
      <c r="Q4" s="139">
        <f>P4*L4</f>
        <v>13368.1</v>
      </c>
    </row>
    <row r="5" spans="2:17" x14ac:dyDescent="0.25">
      <c r="B5" s="53" t="s">
        <v>1037</v>
      </c>
      <c r="C5" s="132">
        <v>2000</v>
      </c>
      <c r="D5" s="141">
        <f>(C5-E5)/(1-F5)</f>
        <v>1799.9675675675676</v>
      </c>
      <c r="E5" s="142">
        <v>335.03</v>
      </c>
      <c r="F5" s="143">
        <v>7.4999999999999997E-2</v>
      </c>
      <c r="H5" s="134" t="s">
        <v>1020</v>
      </c>
      <c r="I5" s="135" t="s">
        <v>1021</v>
      </c>
      <c r="J5" s="136">
        <v>134.08000000000001</v>
      </c>
      <c r="L5" s="53">
        <v>2000</v>
      </c>
      <c r="M5" s="138">
        <v>10307</v>
      </c>
      <c r="N5" s="140">
        <f>(M5+(360*4))/L5</f>
        <v>5.8734999999999999</v>
      </c>
      <c r="O5" s="132">
        <v>1.85</v>
      </c>
      <c r="P5" s="139">
        <f>O5*N5</f>
        <v>10.865975000000001</v>
      </c>
      <c r="Q5" s="139">
        <f>P5*L5</f>
        <v>21731.95</v>
      </c>
    </row>
    <row r="6" spans="2:17" x14ac:dyDescent="0.25">
      <c r="D6" s="256" t="s">
        <v>1047</v>
      </c>
      <c r="E6" s="256"/>
      <c r="F6" s="256"/>
      <c r="H6" s="134" t="s">
        <v>1022</v>
      </c>
      <c r="I6" s="137">
        <v>15</v>
      </c>
      <c r="J6" s="135">
        <v>335.03</v>
      </c>
      <c r="L6" s="53">
        <v>3000</v>
      </c>
      <c r="M6" s="138">
        <v>13638</v>
      </c>
      <c r="N6" s="140">
        <f>(M6+(360*4))/L6</f>
        <v>5.0259999999999998</v>
      </c>
      <c r="O6" s="132">
        <v>1.85</v>
      </c>
      <c r="P6" s="139">
        <f>O6*N6</f>
        <v>9.2980999999999998</v>
      </c>
      <c r="Q6" s="139">
        <f>P6*L6</f>
        <v>27894.3</v>
      </c>
    </row>
    <row r="7" spans="2:17" x14ac:dyDescent="0.25">
      <c r="H7" s="134" t="s">
        <v>1023</v>
      </c>
      <c r="I7" s="135" t="s">
        <v>1024</v>
      </c>
      <c r="J7" s="135">
        <v>602.96</v>
      </c>
      <c r="L7" s="53">
        <v>5000</v>
      </c>
      <c r="M7" s="138">
        <v>20382</v>
      </c>
      <c r="N7" s="140">
        <f>(M7+(360*4))/L7</f>
        <v>4.3643999999999998</v>
      </c>
      <c r="O7" s="132">
        <v>1.85</v>
      </c>
      <c r="P7" s="139">
        <f>O7*N7</f>
        <v>8.0741399999999999</v>
      </c>
      <c r="Q7" s="139">
        <f>P7*L7</f>
        <v>40370.699999999997</v>
      </c>
    </row>
    <row r="8" spans="2:17" x14ac:dyDescent="0.25">
      <c r="H8" s="134" t="s">
        <v>1025</v>
      </c>
      <c r="I8" s="135" t="s">
        <v>1026</v>
      </c>
      <c r="J8" s="135">
        <v>826.15</v>
      </c>
      <c r="N8" s="144" t="s">
        <v>1047</v>
      </c>
      <c r="P8" s="256" t="s">
        <v>1047</v>
      </c>
      <c r="Q8" s="256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tru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183</vt:i4>
      </vt:variant>
    </vt:vector>
  </HeadingPairs>
  <TitlesOfParts>
    <vt:vector size="184" baseType="lpstr">
      <vt:lpstr>ALEXANDRA CIFUENTES</vt:lpstr>
      <vt:lpstr>'ALEXANDRA CIFUENTES'!ARREDONDAMENT0_01</vt:lpstr>
      <vt:lpstr>'ALEXANDRA CIFUENTES'!ARREDONDAMENT0_02</vt:lpstr>
      <vt:lpstr>'ALEXANDRA CIFUENTES'!ARREDONDAMENT0_03</vt:lpstr>
      <vt:lpstr>'ALEXANDRA CIFUENTES'!ARREDONDAMENT0_04</vt:lpstr>
      <vt:lpstr>'ALEXANDRA CIFUENTES'!ARREDONDAMENT0_05</vt:lpstr>
      <vt:lpstr>'ALEXANDRA CIFUENTES'!ARREDONDAMENT0_06</vt:lpstr>
      <vt:lpstr>'ALEXANDRA CIFUENTES'!ARREDONDAMENT0_07</vt:lpstr>
      <vt:lpstr>'ALEXANDRA CIFUENTES'!ARREDONDAMENT0_08</vt:lpstr>
      <vt:lpstr>'ALEXANDRA CIFUENTES'!Caracteristicas</vt:lpstr>
      <vt:lpstr>'ALEXANDRA CIFUENTES'!DescontoComprasMKT_01</vt:lpstr>
      <vt:lpstr>'ALEXANDRA CIFUENTES'!DescontoComprasMKT_02</vt:lpstr>
      <vt:lpstr>'ALEXANDRA CIFUENTES'!DescontoComprasMKT_03</vt:lpstr>
      <vt:lpstr>'ALEXANDRA CIFUENTES'!DescontoComprasMKT_04</vt:lpstr>
      <vt:lpstr>'ALEXANDRA CIFUENTES'!DescontoComprasMKT_05</vt:lpstr>
      <vt:lpstr>'ALEXANDRA CIFUENTES'!DescontoComprasMKT_06</vt:lpstr>
      <vt:lpstr>'ALEXANDRA CIFUENTES'!DescontoComprasMKT_07</vt:lpstr>
      <vt:lpstr>'ALEXANDRA CIFUENTES'!DescontoComprasMKT_08</vt:lpstr>
      <vt:lpstr>'ALEXANDRA CIFUENTES'!DescontoPadrao_01</vt:lpstr>
      <vt:lpstr>'ALEXANDRA CIFUENTES'!DescontoPadrao_02</vt:lpstr>
      <vt:lpstr>'ALEXANDRA CIFUENTES'!DescontoPadrao_03</vt:lpstr>
      <vt:lpstr>'ALEXANDRA CIFUENTES'!DescontoPadrao_04</vt:lpstr>
      <vt:lpstr>'ALEXANDRA CIFUENTES'!DescontoPadrao_05</vt:lpstr>
      <vt:lpstr>'ALEXANDRA CIFUENTES'!DescontoPadrao_06</vt:lpstr>
      <vt:lpstr>'ALEXANDRA CIFUENTES'!DescontoPadrao_07</vt:lpstr>
      <vt:lpstr>'ALEXANDRA CIFUENTES'!DescontoPadrao_08</vt:lpstr>
      <vt:lpstr>'ALEXANDRA CIFUENTES'!FASCICULOS_01</vt:lpstr>
      <vt:lpstr>'ALEXANDRA CIFUENTES'!FASCICULOS_02</vt:lpstr>
      <vt:lpstr>'ALEXANDRA CIFUENTES'!FASCICULOS_03</vt:lpstr>
      <vt:lpstr>'ALEXANDRA CIFUENTES'!FASCICULOS_04</vt:lpstr>
      <vt:lpstr>'ALEXANDRA CIFUENTES'!FASCICULOS_05</vt:lpstr>
      <vt:lpstr>'ALEXANDRA CIFUENTES'!FASCICULOS_06</vt:lpstr>
      <vt:lpstr>'ALEXANDRA CIFUENTES'!FASCICULOS_07</vt:lpstr>
      <vt:lpstr>'ALEXANDRA CIFUENTES'!FASCICULOS_08</vt:lpstr>
      <vt:lpstr>'ALEXANDRA CIFUENTES'!LINHA_DE_PRODUTO_01</vt:lpstr>
      <vt:lpstr>'ALEXANDRA CIFUENTES'!LINHA_DE_PRODUTO_02</vt:lpstr>
      <vt:lpstr>'ALEXANDRA CIFUENTES'!LINHA_DE_PRODUTO_03</vt:lpstr>
      <vt:lpstr>'ALEXANDRA CIFUENTES'!LINHA_DE_PRODUTO_04</vt:lpstr>
      <vt:lpstr>'ALEXANDRA CIFUENTES'!LINHA_DE_PRODUTO_05</vt:lpstr>
      <vt:lpstr>'ALEXANDRA CIFUENTES'!LINHA_DE_PRODUTO_06</vt:lpstr>
      <vt:lpstr>'ALEXANDRA CIFUENTES'!LINHA_DE_PRODUTO_07</vt:lpstr>
      <vt:lpstr>'ALEXANDRA CIFUENTES'!LINHA_DE_PRODUTO_08</vt:lpstr>
      <vt:lpstr>'ALEXANDRA CIFUENTES'!MARGEM_MINIMA_01</vt:lpstr>
      <vt:lpstr>'ALEXANDRA CIFUENTES'!MARGEM_MINIMA_02</vt:lpstr>
      <vt:lpstr>'ALEXANDRA CIFUENTES'!MARGEM_MINIMA_03</vt:lpstr>
      <vt:lpstr>'ALEXANDRA CIFUENTES'!MARGEM_MINIMA_04</vt:lpstr>
      <vt:lpstr>'ALEXANDRA CIFUENTES'!MARGEM_MINIMA_05</vt:lpstr>
      <vt:lpstr>'ALEXANDRA CIFUENTES'!MARGEM_MINIMA_06</vt:lpstr>
      <vt:lpstr>'ALEXANDRA CIFUENTES'!MARGEM_MINIMA_07</vt:lpstr>
      <vt:lpstr>'ALEXANDRA CIFUENTES'!MARGEM_MINIMA_08</vt:lpstr>
      <vt:lpstr>'ALEXANDRA CIFUENTES'!MargemBrutaComprasMKT_01</vt:lpstr>
      <vt:lpstr>'ALEXANDRA CIFUENTES'!MargemBrutaComprasMKT_02</vt:lpstr>
      <vt:lpstr>'ALEXANDRA CIFUENTES'!MargemBrutaComprasMKT_03</vt:lpstr>
      <vt:lpstr>'ALEXANDRA CIFUENTES'!MargemBrutaComprasMKT_04</vt:lpstr>
      <vt:lpstr>'ALEXANDRA CIFUENTES'!MargemBrutaComprasMKT_05</vt:lpstr>
      <vt:lpstr>'ALEXANDRA CIFUENTES'!MargemBrutaComprasMKT_06</vt:lpstr>
      <vt:lpstr>'ALEXANDRA CIFUENTES'!MargemBrutaComprasMKT_07</vt:lpstr>
      <vt:lpstr>'ALEXANDRA CIFUENTES'!MargemBrutaComprasMKT_08</vt:lpstr>
      <vt:lpstr>'ALEXANDRA CIFUENTES'!MargemBrutaMKT_01</vt:lpstr>
      <vt:lpstr>'ALEXANDRA CIFUENTES'!MargemBrutaMKT_02</vt:lpstr>
      <vt:lpstr>'ALEXANDRA CIFUENTES'!MargemBrutaMKT_03</vt:lpstr>
      <vt:lpstr>'ALEXANDRA CIFUENTES'!MargemBrutaMKT_04</vt:lpstr>
      <vt:lpstr>'ALEXANDRA CIFUENTES'!MargemBrutaMKT_05</vt:lpstr>
      <vt:lpstr>'ALEXANDRA CIFUENTES'!MargemBrutaMKT_06</vt:lpstr>
      <vt:lpstr>'ALEXANDRA CIFUENTES'!MargemBrutaMKT_07</vt:lpstr>
      <vt:lpstr>'ALEXANDRA CIFUENTES'!MargemBrutaMKT_08</vt:lpstr>
      <vt:lpstr>'ALEXANDRA CIFUENTES'!MargemMinimaCompras_01</vt:lpstr>
      <vt:lpstr>'ALEXANDRA CIFUENTES'!MargemMinimaCompras_02</vt:lpstr>
      <vt:lpstr>'ALEXANDRA CIFUENTES'!MargemMinimaCompras_03</vt:lpstr>
      <vt:lpstr>'ALEXANDRA CIFUENTES'!MargemMinimaCompras_04</vt:lpstr>
      <vt:lpstr>'ALEXANDRA CIFUENTES'!MargemMinimaCompras_05</vt:lpstr>
      <vt:lpstr>'ALEXANDRA CIFUENTES'!MargemMinimaCompras_06</vt:lpstr>
      <vt:lpstr>'ALEXANDRA CIFUENTES'!MargemMinimaCompras_07</vt:lpstr>
      <vt:lpstr>'ALEXANDRA CIFUENTES'!MargemMinimaCompras_08</vt:lpstr>
      <vt:lpstr>'ALEXANDRA CIFUENTES'!MargemMKT_01</vt:lpstr>
      <vt:lpstr>'ALEXANDRA CIFUENTES'!MargemMKT_02</vt:lpstr>
      <vt:lpstr>'ALEXANDRA CIFUENTES'!MargemMKT_03</vt:lpstr>
      <vt:lpstr>'ALEXANDRA CIFUENTES'!MargemMKT_04</vt:lpstr>
      <vt:lpstr>'ALEXANDRA CIFUENTES'!MargemMKT_05</vt:lpstr>
      <vt:lpstr>'ALEXANDRA CIFUENTES'!MargemMKT_06</vt:lpstr>
      <vt:lpstr>'ALEXANDRA CIFUENTES'!MargemMKT_07</vt:lpstr>
      <vt:lpstr>'ALEXANDRA CIFUENTES'!MargemMKT_08</vt:lpstr>
      <vt:lpstr>'ALEXANDRA CIFUENTES'!Moeda_01</vt:lpstr>
      <vt:lpstr>'ALEXANDRA CIFUENTES'!Moeda_02</vt:lpstr>
      <vt:lpstr>'ALEXANDRA CIFUENTES'!Moeda_03</vt:lpstr>
      <vt:lpstr>'ALEXANDRA CIFUENTES'!Moeda_04</vt:lpstr>
      <vt:lpstr>'ALEXANDRA CIFUENTES'!Moeda_05</vt:lpstr>
      <vt:lpstr>'ALEXANDRA CIFUENTES'!Moeda_06</vt:lpstr>
      <vt:lpstr>'ALEXANDRA CIFUENTES'!Moeda_07</vt:lpstr>
      <vt:lpstr>'ALEXANDRA CIFUENTES'!Moeda_08</vt:lpstr>
      <vt:lpstr>'ALEXANDRA CIFUENTES'!PRECO_VENDA_GROSS_01</vt:lpstr>
      <vt:lpstr>'ALEXANDRA CIFUENTES'!PRECO_VENDA_GROSS_02</vt:lpstr>
      <vt:lpstr>'ALEXANDRA CIFUENTES'!PRECO_VENDA_GROSS_03</vt:lpstr>
      <vt:lpstr>'ALEXANDRA CIFUENTES'!PRECO_VENDA_GROSS_04</vt:lpstr>
      <vt:lpstr>'ALEXANDRA CIFUENTES'!PRECO_VENDA_GROSS_05</vt:lpstr>
      <vt:lpstr>'ALEXANDRA CIFUENTES'!PRECO_VENDA_GROSS_06</vt:lpstr>
      <vt:lpstr>'ALEXANDRA CIFUENTES'!PRECO_VENDA_GROSS_07</vt:lpstr>
      <vt:lpstr>'ALEXANDRA CIFUENTES'!PRECO_VENDA_GROSS_08</vt:lpstr>
      <vt:lpstr>'ALEXANDRA CIFUENTES'!PrecoDeCompras_01</vt:lpstr>
      <vt:lpstr>'ALEXANDRA CIFUENTES'!PrecoDeCompras_02</vt:lpstr>
      <vt:lpstr>'ALEXANDRA CIFUENTES'!PrecoDeCompras_03</vt:lpstr>
      <vt:lpstr>'ALEXANDRA CIFUENTES'!PrecoDeCompras_04</vt:lpstr>
      <vt:lpstr>'ALEXANDRA CIFUENTES'!PrecoDeCompras_05</vt:lpstr>
      <vt:lpstr>'ALEXANDRA CIFUENTES'!PrecoDeCompras_06</vt:lpstr>
      <vt:lpstr>'ALEXANDRA CIFUENTES'!PrecoDeCompras_07</vt:lpstr>
      <vt:lpstr>'ALEXANDRA CIFUENTES'!PrecoDeCompras_08</vt:lpstr>
      <vt:lpstr>'ALEXANDRA CIFUENTES'!PrecoMKT_01</vt:lpstr>
      <vt:lpstr>'ALEXANDRA CIFUENTES'!PrecoMKT_02</vt:lpstr>
      <vt:lpstr>'ALEXANDRA CIFUENTES'!PrecoMKT_03</vt:lpstr>
      <vt:lpstr>'ALEXANDRA CIFUENTES'!PrecoMKT_04</vt:lpstr>
      <vt:lpstr>'ALEXANDRA CIFUENTES'!PrecoMKT_05</vt:lpstr>
      <vt:lpstr>'ALEXANDRA CIFUENTES'!PrecoMKT_06</vt:lpstr>
      <vt:lpstr>'ALEXANDRA CIFUENTES'!PrecoMKT_07</vt:lpstr>
      <vt:lpstr>'ALEXANDRA CIFUENTES'!PrecoMKT_08</vt:lpstr>
      <vt:lpstr>'ALEXANDRA CIFUENTES'!PrecoTotal_01</vt:lpstr>
      <vt:lpstr>'ALEXANDRA CIFUENTES'!PrecoTotal_02</vt:lpstr>
      <vt:lpstr>'ALEXANDRA CIFUENTES'!PrecoTotal_03</vt:lpstr>
      <vt:lpstr>'ALEXANDRA CIFUENTES'!PrecoTotal_04</vt:lpstr>
      <vt:lpstr>'ALEXANDRA CIFUENTES'!PrecoTotal_05</vt:lpstr>
      <vt:lpstr>'ALEXANDRA CIFUENTES'!PrecoTotal_06</vt:lpstr>
      <vt:lpstr>'ALEXANDRA CIFUENTES'!PrecoTotal_07</vt:lpstr>
      <vt:lpstr>'ALEXANDRA CIFUENTES'!PrecoTotal_08</vt:lpstr>
      <vt:lpstr>'ALEXANDRA CIFUENTES'!PrecoTotalMKT_01</vt:lpstr>
      <vt:lpstr>'ALEXANDRA CIFUENTES'!PrecoTotalMKT_02</vt:lpstr>
      <vt:lpstr>'ALEXANDRA CIFUENTES'!PrecoTotalMKT_03</vt:lpstr>
      <vt:lpstr>'ALEXANDRA CIFUENTES'!PrecoTotalMKT_04</vt:lpstr>
      <vt:lpstr>'ALEXANDRA CIFUENTES'!PrecoTotalMKT_05</vt:lpstr>
      <vt:lpstr>'ALEXANDRA CIFUENTES'!PrecoTotalMKT_06</vt:lpstr>
      <vt:lpstr>'ALEXANDRA CIFUENTES'!PrecoTotalMKT_07</vt:lpstr>
      <vt:lpstr>'ALEXANDRA CIFUENTES'!PrecoTotalMKT_08</vt:lpstr>
      <vt:lpstr>'ALEXANDRA CIFUENTES'!Print_Area</vt:lpstr>
      <vt:lpstr>'CUSTOS DE PRODUÇÃO'!Print_Area</vt:lpstr>
      <vt:lpstr>'ALEXANDRA CIFUENTES'!PRODUTO</vt:lpstr>
      <vt:lpstr>'ALEXANDRA CIFUENTES'!Projetos</vt:lpstr>
      <vt:lpstr>rngBanco</vt:lpstr>
      <vt:lpstr>'ALEXANDRA CIFUENTES'!ROYALTY_ESPECIE_01</vt:lpstr>
      <vt:lpstr>'ALEXANDRA CIFUENTES'!ROYALTY_ESPECIE_02</vt:lpstr>
      <vt:lpstr>'ALEXANDRA CIFUENTES'!ROYALTY_ESPECIE_03</vt:lpstr>
      <vt:lpstr>'ALEXANDRA CIFUENTES'!ROYALTY_ESPECIE_04</vt:lpstr>
      <vt:lpstr>'ALEXANDRA CIFUENTES'!ROYALTY_ESPECIE_05</vt:lpstr>
      <vt:lpstr>'ALEXANDRA CIFUENTES'!ROYALTY_ESPECIE_06</vt:lpstr>
      <vt:lpstr>'ALEXANDRA CIFUENTES'!ROYALTY_ESPECIE_07</vt:lpstr>
      <vt:lpstr>'ALEXANDRA CIFUENTES'!ROYALTY_ESPECIE_08</vt:lpstr>
      <vt:lpstr>'ALEXANDRA CIFUENTES'!ROYALTY_PERCENTUAL_01</vt:lpstr>
      <vt:lpstr>'ALEXANDRA CIFUENTES'!ROYALTY_PERCENTUAL_02</vt:lpstr>
      <vt:lpstr>'ALEXANDRA CIFUENTES'!ROYALTY_PERCENTUAL_03</vt:lpstr>
      <vt:lpstr>'ALEXANDRA CIFUENTES'!ROYALTY_PERCENTUAL_04</vt:lpstr>
      <vt:lpstr>'ALEXANDRA CIFUENTES'!ROYALTY_PERCENTUAL_05</vt:lpstr>
      <vt:lpstr>'ALEXANDRA CIFUENTES'!ROYALTY_PERCENTUAL_06</vt:lpstr>
      <vt:lpstr>'ALEXANDRA CIFUENTES'!ROYALTY_PERCENTUAL_07</vt:lpstr>
      <vt:lpstr>'ALEXANDRA CIFUENTES'!ROYALTY_PERCENTUAL_08</vt:lpstr>
      <vt:lpstr>'ALEXANDRA CIFUENTES'!SERVICO</vt:lpstr>
      <vt:lpstr>'ALEXANDRA CIFUENTES'!SomaCustos_01</vt:lpstr>
      <vt:lpstr>'ALEXANDRA CIFUENTES'!SomaCustos_02</vt:lpstr>
      <vt:lpstr>'ALEXANDRA CIFUENTES'!SomaCustos_03</vt:lpstr>
      <vt:lpstr>'ALEXANDRA CIFUENTES'!SomaCustos_04</vt:lpstr>
      <vt:lpstr>'ALEXANDRA CIFUENTES'!SomaCustos_05</vt:lpstr>
      <vt:lpstr>'ALEXANDRA CIFUENTES'!SomaCustos_06</vt:lpstr>
      <vt:lpstr>'ALEXANDRA CIFUENTES'!SomaCustos_07</vt:lpstr>
      <vt:lpstr>'ALEXANDRA CIFUENTES'!SomaCustos_08</vt:lpstr>
      <vt:lpstr>'ALEXANDRA CIFUENTES'!TIRAGEM_01</vt:lpstr>
      <vt:lpstr>'ALEXANDRA CIFUENTES'!TIRAGEM_02</vt:lpstr>
      <vt:lpstr>'ALEXANDRA CIFUENTES'!TIRAGEM_03</vt:lpstr>
      <vt:lpstr>'ALEXANDRA CIFUENTES'!TIRAGEM_04</vt:lpstr>
      <vt:lpstr>'ALEXANDRA CIFUENTES'!TIRAGEM_05</vt:lpstr>
      <vt:lpstr>'ALEXANDRA CIFUENTES'!TIRAGEM_06</vt:lpstr>
      <vt:lpstr>'ALEXANDRA CIFUENTES'!TIRAGEM_07</vt:lpstr>
      <vt:lpstr>'ALEXANDRA CIFUENTES'!TIRAGEM_08</vt:lpstr>
      <vt:lpstr>'ALEXANDRA CIFUENTES'!ValorUnitarioCompras_01</vt:lpstr>
      <vt:lpstr>'ALEXANDRA CIFUENTES'!ValorUnitarioCompras_02</vt:lpstr>
      <vt:lpstr>'ALEXANDRA CIFUENTES'!ValorUnitarioCompras_03</vt:lpstr>
      <vt:lpstr>'ALEXANDRA CIFUENTES'!ValorUnitarioCompras_04</vt:lpstr>
      <vt:lpstr>'ALEXANDRA CIFUENTES'!ValorUnitarioCompras_05</vt:lpstr>
      <vt:lpstr>'ALEXANDRA CIFUENTES'!ValorUnitarioCompras_06</vt:lpstr>
      <vt:lpstr>'ALEXANDRA CIFUENTES'!ValorUnitarioCompras_07</vt:lpstr>
      <vt:lpstr>'ALEXANDRA CIFUENTES'!ValorUnitarioCompras_08</vt:lpstr>
      <vt:lpstr>'ALEXANDRA CIFUENTES'!ValorUnitarioMKT_01</vt:lpstr>
      <vt:lpstr>'ALEXANDRA CIFUENTES'!ValorUnitarioMKT_02</vt:lpstr>
      <vt:lpstr>'ALEXANDRA CIFUENTES'!ValorUnitarioMKT_03</vt:lpstr>
      <vt:lpstr>'ALEXANDRA CIFUENTES'!ValorUnitarioMKT_04</vt:lpstr>
      <vt:lpstr>'ALEXANDRA CIFUENTES'!ValorUnitarioMKT_05</vt:lpstr>
      <vt:lpstr>'ALEXANDRA CIFUENTES'!ValorUnitarioMKT_06</vt:lpstr>
      <vt:lpstr>'ALEXANDRA CIFUENTES'!ValorUnitarioMKT_07</vt:lpstr>
      <vt:lpstr>'ALEXANDRA CIFUENTES'!ValorUnitarioMKT_08</vt:lpstr>
    </vt:vector>
  </TitlesOfParts>
  <Company>Rtm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daSilva, A.</cp:lastModifiedBy>
  <cp:lastPrinted>2016-01-06T13:31:33Z</cp:lastPrinted>
  <dcterms:created xsi:type="dcterms:W3CDTF">2011-03-16T19:58:59Z</dcterms:created>
  <dcterms:modified xsi:type="dcterms:W3CDTF">2016-01-27T17:34:07Z</dcterms:modified>
</cp:coreProperties>
</file>