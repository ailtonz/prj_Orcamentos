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ilton.z.da.silva\Downloads\vba_Orcamento\140825-1320\"/>
    </mc:Choice>
  </mc:AlternateContent>
  <xr:revisionPtr revIDLastSave="0" documentId="13_ncr:1_{96BA1194-DAAC-4A4E-B443-611EA4CAE6F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TANIA" sheetId="17" r:id="rId1"/>
    <sheet name="APOIO" sheetId="19" state="hidden" r:id="rId2"/>
    <sheet name="ADM" sheetId="18" state="hidden" r:id="rId3"/>
    <sheet name="CFG" sheetId="20" state="hidden" r:id="rId4"/>
  </sheets>
  <functionGroups builtInGroupCount="19"/>
  <definedNames>
    <definedName name="_xlnm._FilterDatabase" localSheetId="0" hidden="1">TANIA!#REF!</definedName>
    <definedName name="ACABAMENTO">OFFSET(APOIO!$D$2,0,0,COUNTA(APOIO!$D:$D)-1,1)</definedName>
    <definedName name="BANCOS">OFFSET(CFG!$A$2,0,0,COUNTA(CFG!$A:$A)-1,1)</definedName>
    <definedName name="CLIENTES">OFFSET(APOIO!$C$2,0,0,COUNTA(APOIO!$C:$C)-1,1)</definedName>
    <definedName name="DESCONTOS">OFFSET(TANIA!$W$3,0,0,COUNTA(TANIA!$W:$W)-2,1)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OFFSET(TANIA!$L$3,0,0,COUNTA(TANIA!$L:$L)-2,1)</definedName>
    <definedName name="MOEDA">OFFSET(TANIA!$P$3,0,0,COUNTA(TANIA!$P:$P)-2,1)</definedName>
    <definedName name="NPAGINAS">OFFSET(APOIO!$H$2,0,0,COUNTA(APOIO!$H:$H)-1,1)</definedName>
    <definedName name="PAPEL">OFFSET(APOIO!$G$2,0,0,COUNTA(APOIO!$G:$G)-1,1)</definedName>
    <definedName name="_xlnm.Print_Area" localSheetId="2">ADM!$A$1:$M$66</definedName>
    <definedName name="_xlnm.Print_Area" localSheetId="0">TANIA!$B$1:$J$68</definedName>
    <definedName name="PUBLISHER">OFFSET(APOIO!$B$2,0,0,COUNTA(APOIO!$B:$B)-1,1)</definedName>
    <definedName name="TIPO">OFFSET(APOIO!$F$2,0,0,COUNTA(APOIO!$F:$F)-1,1)</definedName>
    <definedName name="VENDAS">OFFSET(TANIA!$S$3,0,0,COUNTA(TANIA!$S:$S)-2,1)</definedName>
    <definedName name="Z_437F6487_5027_419A_843F_1746F5494E4F_.wvu.FilterData" localSheetId="0" hidden="1">TANIA!#REF!</definedName>
    <definedName name="Z_437F6487_5027_419A_843F_1746F5494E4F_.wvu.PrintArea" localSheetId="0" hidden="1">TANIA!$B$1:$J$70</definedName>
    <definedName name="Z_5B1E8DBA_90DA_43E8_AAC8_B7C5A23492D3_.wvu.FilterData" localSheetId="0" hidden="1">TANIA!#REF!</definedName>
    <definedName name="Z_5B1E8DBA_90DA_43E8_AAC8_B7C5A23492D3_.wvu.PrintArea" localSheetId="0" hidden="1">TANIA!$B$1:$J$70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4" i="17" l="1"/>
  <c r="K12" i="17"/>
  <c r="C14" i="17"/>
  <c r="D14" i="17"/>
  <c r="E14" i="17"/>
  <c r="F14" i="17"/>
  <c r="G14" i="17"/>
  <c r="J14" i="17" l="1"/>
  <c r="I14" i="17"/>
  <c r="H14" i="17"/>
  <c r="B59" i="17"/>
  <c r="J33" i="17"/>
  <c r="J34" i="17" s="1"/>
  <c r="I33" i="17"/>
  <c r="I34" i="17" s="1"/>
  <c r="H33" i="17"/>
  <c r="G33" i="17"/>
  <c r="G34" i="17" s="1"/>
  <c r="F33" i="17"/>
  <c r="E33" i="17"/>
  <c r="E34" i="17" s="1"/>
  <c r="D33" i="17"/>
  <c r="C33" i="17"/>
  <c r="C34" i="17" s="1"/>
  <c r="D59" i="17" l="1"/>
  <c r="D34" i="17"/>
  <c r="H59" i="17"/>
  <c r="H34" i="17"/>
  <c r="F59" i="17"/>
  <c r="F34" i="17"/>
  <c r="C59" i="17"/>
  <c r="G59" i="17"/>
  <c r="E59" i="17"/>
  <c r="I59" i="17"/>
  <c r="J59" i="17"/>
  <c r="I67" i="17" l="1"/>
  <c r="I64" i="17"/>
  <c r="I69" i="17" s="1"/>
  <c r="E67" i="17"/>
  <c r="E70" i="17" s="1"/>
  <c r="E64" i="17"/>
  <c r="E69" i="17" s="1"/>
  <c r="F64" i="17"/>
  <c r="F67" i="17"/>
  <c r="D64" i="17"/>
  <c r="D69" i="17" s="1"/>
  <c r="D67" i="17"/>
  <c r="D68" i="17" s="1"/>
  <c r="G64" i="17"/>
  <c r="G69" i="17" s="1"/>
  <c r="G67" i="17"/>
  <c r="G70" i="17" s="1"/>
  <c r="J64" i="17"/>
  <c r="J69" i="17" s="1"/>
  <c r="J67" i="17"/>
  <c r="J70" i="17" s="1"/>
  <c r="C64" i="17"/>
  <c r="C69" i="17" s="1"/>
  <c r="C67" i="17"/>
  <c r="H64" i="17"/>
  <c r="H65" i="17" s="1"/>
  <c r="H67" i="17"/>
  <c r="H68" i="17" s="1"/>
  <c r="K67" i="17" l="1"/>
  <c r="K4" i="17"/>
  <c r="C70" i="17"/>
  <c r="I70" i="17"/>
  <c r="F68" i="17"/>
  <c r="I65" i="17"/>
  <c r="F70" i="17"/>
  <c r="G65" i="17"/>
  <c r="E68" i="17"/>
  <c r="C68" i="17"/>
  <c r="I68" i="17"/>
  <c r="H70" i="17"/>
  <c r="H69" i="17"/>
  <c r="G68" i="17"/>
  <c r="J68" i="17"/>
  <c r="J65" i="17"/>
  <c r="C65" i="17"/>
  <c r="D70" i="17"/>
  <c r="D65" i="17"/>
  <c r="F69" i="17"/>
  <c r="F65" i="17"/>
  <c r="E65" i="17"/>
</calcChain>
</file>

<file path=xl/sharedStrings.xml><?xml version="1.0" encoding="utf-8"?>
<sst xmlns="http://schemas.openxmlformats.org/spreadsheetml/2006/main" count="1516" uniqueCount="1246">
  <si>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</si>
  <si>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</si>
  <si>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</si>
  <si>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</si>
  <si>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</si>
  <si>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</si>
  <si>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</si>
  <si>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</si>
  <si>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</si>
  <si>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</si>
  <si>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</si>
  <si>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</si>
  <si>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</si>
  <si>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</si>
  <si>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</si>
  <si>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</si>
  <si>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</si>
  <si>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</si>
  <si>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</si>
  <si>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</si>
  <si>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</si>
  <si>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</si>
  <si>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</si>
  <si>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</si>
  <si>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</si>
  <si>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</si>
  <si>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</si>
  <si>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</si>
  <si>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</si>
  <si>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</si>
  <si>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</si>
  <si>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</si>
  <si>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</si>
  <si>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</si>
  <si>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</si>
  <si>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</si>
  <si>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</si>
  <si>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</si>
  <si>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</si>
  <si>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</si>
  <si>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</si>
  <si>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</si>
  <si>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</si>
  <si>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</si>
  <si>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</si>
  <si>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</si>
  <si>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</si>
  <si>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</si>
  <si>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</si>
  <si>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</si>
  <si>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</si>
  <si>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</si>
  <si>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</si>
  <si>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</si>
  <si>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</si>
  <si>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</si>
  <si>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</si>
  <si>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</si>
  <si>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</si>
  <si>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</si>
  <si>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</si>
  <si>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</si>
  <si>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</si>
  <si>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</si>
  <si>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</si>
  <si>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</si>
  <si>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</si>
  <si>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</si>
  <si>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</si>
  <si>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</si>
  <si>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</si>
  <si>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</si>
  <si>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</si>
  <si>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</si>
  <si>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</si>
  <si>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</si>
  <si>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</si>
  <si>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</si>
  <si>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</si>
  <si>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</si>
  <si>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</si>
  <si>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</si>
  <si>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</si>
  <si>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</si>
  <si>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</si>
  <si>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</si>
  <si>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</si>
  <si>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</si>
  <si>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</si>
  <si>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</si>
  <si>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</si>
  <si>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</si>
  <si>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</si>
  <si>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</si>
  <si>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</si>
  <si>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</si>
  <si>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</si>
  <si>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</si>
  <si>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</si>
  <si>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</si>
  <si>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</si>
  <si>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</si>
  <si>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</si>
  <si>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</si>
  <si>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</si>
  <si>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</si>
  <si>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</si>
  <si>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</si>
  <si>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</si>
  <si>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</si>
  <si>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</si>
  <si>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</si>
  <si>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</si>
  <si>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</si>
  <si>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</si>
  <si>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</si>
  <si>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</si>
  <si>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</si>
  <si>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</si>
  <si>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</si>
  <si>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</si>
  <si>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</si>
  <si>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</si>
  <si>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</si>
  <si>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</si>
  <si>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</si>
  <si>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</si>
  <si>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</si>
  <si>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</si>
  <si>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</si>
  <si>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</si>
  <si>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</si>
  <si>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</si>
  <si>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</si>
  <si>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</si>
  <si>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</si>
  <si>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</si>
  <si>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</si>
  <si>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</si>
  <si>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</si>
  <si>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</si>
  <si>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</si>
  <si>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</si>
  <si>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</si>
  <si>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</si>
  <si>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</si>
  <si>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</si>
  <si>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</si>
  <si>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</si>
  <si>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</si>
  <si>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</si>
  <si>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</si>
  <si>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</si>
  <si>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</si>
  <si>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</si>
  <si>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</si>
  <si>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</si>
  <si>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</si>
  <si>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</si>
  <si>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</si>
  <si>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</si>
  <si>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</si>
  <si>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</si>
  <si>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</si>
  <si>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</si>
  <si>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</si>
  <si>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</si>
  <si>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</si>
  <si>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</si>
  <si>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</si>
  <si>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</si>
  <si>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</si>
  <si>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</si>
  <si>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</si>
  <si>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</si>
  <si>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</si>
  <si>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</si>
  <si>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</si>
  <si>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</si>
  <si>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</si>
  <si>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</si>
  <si>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</si>
  <si>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</si>
  <si>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</si>
  <si>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</si>
  <si>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</si>
  <si>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</si>
  <si>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</si>
  <si>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</si>
  <si>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</si>
  <si>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</si>
  <si>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</si>
  <si>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</si>
  <si>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</si>
  <si>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</si>
  <si>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</si>
  <si>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</si>
  <si>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</si>
  <si>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</si>
  <si>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</si>
  <si>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</si>
  <si>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</si>
  <si>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</si>
  <si>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</si>
  <si>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</si>
  <si>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</si>
  <si>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</si>
  <si>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</si>
  <si>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</si>
  <si>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</si>
  <si>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</si>
  <si>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</si>
  <si>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</si>
  <si>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</si>
  <si>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</si>
  <si>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</si>
  <si>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</si>
  <si>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</si>
  <si>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</si>
  <si>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</si>
  <si>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</si>
  <si>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</si>
  <si>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</si>
  <si>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</si>
  <si>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</si>
  <si>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</si>
  <si>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</si>
  <si>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</si>
  <si>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</si>
  <si>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</si>
  <si>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</si>
  <si>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</si>
  <si>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</si>
  <si>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</si>
  <si>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</si>
  <si>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</si>
  <si>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</si>
  <si>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</si>
  <si>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</si>
  <si>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</si>
  <si>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</si>
  <si>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</si>
  <si>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</si>
  <si>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</si>
  <si>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</si>
  <si>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</si>
  <si>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</si>
  <si>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</si>
  <si>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</si>
  <si>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</si>
  <si>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</si>
  <si>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</si>
  <si>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</si>
  <si>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</si>
  <si>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</si>
  <si>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</si>
  <si>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</si>
  <si>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</si>
  <si>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</si>
  <si>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</si>
  <si>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</si>
  <si>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</si>
  <si>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</si>
  <si>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</si>
  <si>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</si>
  <si>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</si>
  <si>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</si>
  <si>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</si>
  <si>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</si>
  <si>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</si>
  <si>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</si>
  <si>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</si>
  <si>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</si>
  <si>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</si>
  <si>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</si>
  <si>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</si>
  <si>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</si>
  <si>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</si>
  <si>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</si>
  <si>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</si>
  <si>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</si>
  <si>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</si>
  <si>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</si>
  <si>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</si>
  <si>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</si>
  <si>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</si>
  <si>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</si>
  <si>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</si>
  <si>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</si>
  <si>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</si>
  <si>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</si>
  <si>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</si>
  <si>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</si>
  <si>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</si>
  <si>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</si>
  <si>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</si>
  <si>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</si>
  <si>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</si>
  <si>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</si>
  <si>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</si>
  <si>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</si>
  <si>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</si>
  <si>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</si>
  <si>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</si>
  <si>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</si>
  <si>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</si>
  <si>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</si>
  <si>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</si>
  <si>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</si>
  <si>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</si>
  <si>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</si>
  <si>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</si>
  <si>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</si>
  <si>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</si>
  <si>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</si>
  <si>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</si>
  <si>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</si>
  <si>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</si>
  <si>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</si>
  <si>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</si>
  <si>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</si>
  <si>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</si>
  <si>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</si>
  <si>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</si>
  <si>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</si>
  <si>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</si>
  <si>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</si>
  <si>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</si>
  <si>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</si>
  <si>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</si>
  <si>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</si>
  <si>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</si>
  <si>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</si>
  <si>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</si>
  <si>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</si>
  <si>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</si>
  <si>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</si>
  <si>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</si>
  <si>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</si>
  <si>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</si>
  <si>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</si>
  <si>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</si>
  <si>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</si>
  <si>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</si>
  <si>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</si>
  <si>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</si>
  <si>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</si>
  <si>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</si>
  <si>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</si>
  <si>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</si>
  <si>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</si>
  <si>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</si>
  <si>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</si>
  <si>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</si>
  <si>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</si>
  <si>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</si>
  <si>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</si>
  <si>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</si>
  <si>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</si>
  <si>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</si>
  <si>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</si>
  <si>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</si>
  <si>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</si>
  <si>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</si>
  <si>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</si>
  <si>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</si>
  <si>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</si>
  <si>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</si>
  <si>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</si>
  <si>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</si>
  <si>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</si>
  <si>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</si>
  <si>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</si>
  <si>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</si>
  <si>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</si>
  <si>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</si>
  <si>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</si>
  <si>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</si>
  <si>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</si>
  <si>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</si>
  <si>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</si>
  <si>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</si>
  <si>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</si>
  <si>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</si>
  <si>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</si>
  <si>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</si>
  <si>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</si>
  <si>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</si>
  <si>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</si>
  <si>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</si>
  <si>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</si>
  <si>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</si>
  <si>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</si>
  <si>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</si>
  <si>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</si>
  <si>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</si>
  <si>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</si>
  <si>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</si>
  <si>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</si>
  <si>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</si>
  <si>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</si>
  <si>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</si>
  <si>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</si>
  <si>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</si>
  <si>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</si>
  <si>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</si>
  <si>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</si>
  <si>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</si>
  <si>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</si>
  <si>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</si>
  <si>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</si>
  <si>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</si>
  <si>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</si>
  <si>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</si>
  <si>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</si>
  <si>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</si>
  <si>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</si>
  <si>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</si>
  <si>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</si>
  <si>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</si>
  <si>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</si>
  <si>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</si>
  <si>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</si>
  <si>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</si>
  <si>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</si>
  <si>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</si>
  <si>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</si>
  <si>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</si>
  <si>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</si>
  <si>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</si>
  <si>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</si>
  <si>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</si>
  <si>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</si>
  <si>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</si>
  <si>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</si>
  <si>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</si>
  <si>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</si>
  <si>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</si>
  <si>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</si>
  <si>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</si>
  <si>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</si>
  <si>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</si>
  <si>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</si>
  <si>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</si>
  <si>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</si>
  <si>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</si>
  <si>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</si>
  <si>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</si>
  <si>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</si>
  <si>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</si>
  <si>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</si>
  <si>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</si>
  <si>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</si>
  <si>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</si>
  <si>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</si>
  <si>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</si>
  <si>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</si>
  <si>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</si>
  <si>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</si>
  <si>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</si>
  <si>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</si>
  <si>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</si>
  <si>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</si>
  <si>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</si>
  <si>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</si>
  <si>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</si>
  <si>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</si>
  <si>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</si>
  <si>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</si>
  <si>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</si>
  <si>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</si>
  <si>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</si>
  <si>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</si>
  <si>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</si>
  <si>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</si>
  <si>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</si>
  <si>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</si>
  <si>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</si>
  <si>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ABBOTT + SOLVAY</t>
  </si>
  <si>
    <t>ACHÉ</t>
  </si>
  <si>
    <t>ACTELION</t>
  </si>
  <si>
    <t>AMGEN - BERGAMO</t>
  </si>
  <si>
    <t>ASTRA ZENECA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</si>
  <si>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</si>
  <si>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</si>
  <si>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</si>
  <si>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</si>
  <si>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</si>
  <si>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</si>
  <si>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</si>
  <si>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</si>
  <si>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</si>
  <si>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</si>
  <si>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JANSSEN-CILAG</t>
  </si>
  <si>
    <t>LEO PHARMA</t>
  </si>
  <si>
    <t>MEAD JOHNSON</t>
  </si>
  <si>
    <t>MERCK - SERONO SP/RJ</t>
  </si>
  <si>
    <t>MERCK AG - SERONO RJ</t>
  </si>
  <si>
    <t>MERZBIOLAB</t>
  </si>
  <si>
    <t>MSD</t>
  </si>
  <si>
    <t>NESTLE</t>
  </si>
  <si>
    <t>NOVARTIS - SANDOZ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</si>
  <si>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</si>
  <si>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</si>
  <si>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</si>
  <si>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</si>
  <si>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</si>
  <si>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</si>
  <si>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</si>
  <si>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</si>
  <si>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</si>
  <si>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</si>
  <si>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</si>
  <si>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</si>
  <si>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</si>
  <si>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</si>
  <si>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</si>
  <si>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</si>
  <si>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</si>
  <si>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</si>
  <si>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</si>
  <si>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</si>
  <si>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</si>
  <si>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</si>
  <si>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</si>
  <si>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</si>
  <si>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</si>
  <si>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</si>
  <si>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</si>
  <si>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</si>
  <si>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</si>
  <si>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</si>
  <si>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</si>
  <si>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</si>
  <si>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</si>
  <si>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</si>
  <si>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</si>
  <si>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</si>
  <si>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</si>
  <si>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</si>
  <si>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</si>
  <si>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</si>
  <si>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</si>
  <si>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</si>
  <si>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</si>
  <si>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</si>
  <si>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</si>
  <si>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</si>
  <si>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</si>
  <si>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</si>
  <si>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</si>
  <si>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</si>
  <si>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</si>
  <si>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</si>
  <si>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</si>
  <si>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</si>
  <si>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</si>
  <si>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</si>
  <si>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</si>
  <si>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</si>
  <si>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</si>
  <si>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</si>
  <si>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</si>
  <si>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</si>
  <si>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</si>
  <si>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</si>
  <si>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</si>
  <si>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</si>
  <si>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</si>
  <si>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</si>
  <si>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</si>
  <si>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</si>
  <si>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</si>
  <si>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</si>
  <si>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</si>
  <si>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</si>
  <si>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</si>
  <si>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</si>
  <si>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</si>
  <si>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</si>
  <si>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</si>
  <si>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</si>
  <si>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</si>
  <si>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FECHADO COM CLIENTE:</t>
  </si>
  <si>
    <t>TRADUÇÃO:</t>
  </si>
  <si>
    <t>REVISÃO ORTOGRÁFICA:</t>
  </si>
  <si>
    <t>REVISÃO MÉDICA:</t>
  </si>
  <si>
    <t>CRIAÇÃO:</t>
  </si>
  <si>
    <t>PAPEL:</t>
  </si>
  <si>
    <t>IMPRESSÃO:</t>
  </si>
  <si>
    <t>OUTROS:</t>
  </si>
  <si>
    <t>IMPOSTOS:</t>
  </si>
  <si>
    <t>PREÇO FINAL</t>
  </si>
  <si>
    <t>TIPO</t>
  </si>
  <si>
    <t>PRODUÇÃO</t>
  </si>
  <si>
    <t>VENDAS</t>
  </si>
  <si>
    <t>GERENTE DE CONTAS:</t>
  </si>
  <si>
    <t>PREVISÃO DE 
ENTREGA:</t>
  </si>
  <si>
    <t>VALOR FINAL 
DO PROJETO:</t>
  </si>
  <si>
    <t>ORÇAMENTO</t>
  </si>
  <si>
    <t>RESPONSÁVEL:</t>
  </si>
  <si>
    <t>LINHA DE 
PRODUTO:</t>
  </si>
  <si>
    <t>TITULO DO PROJETO:</t>
  </si>
  <si>
    <t>PUBLISHER:</t>
  </si>
  <si>
    <t>JOURNAL:</t>
  </si>
  <si>
    <t>VOL./NO. PÁGS: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</si>
  <si>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</si>
  <si>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</si>
  <si>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</si>
  <si>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</si>
  <si>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</si>
  <si>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</si>
  <si>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</si>
  <si>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</si>
  <si>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</si>
  <si>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</si>
  <si>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</si>
  <si>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</si>
  <si>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</si>
  <si>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</si>
  <si>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TIPO:</t>
  </si>
  <si>
    <t>No PÁGINAS: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</si>
  <si>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</si>
  <si>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</si>
  <si>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</si>
  <si>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</si>
  <si>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</si>
  <si>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</si>
  <si>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</si>
  <si>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</si>
  <si>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</si>
  <si>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</si>
  <si>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</si>
  <si>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TRANSP. NAC.:</t>
  </si>
  <si>
    <t>TRANSP.INTERN.:</t>
  </si>
  <si>
    <t>VALOR IDEAL:</t>
  </si>
  <si>
    <t>SEGUROS:</t>
  </si>
  <si>
    <t>EXTRAS:</t>
  </si>
  <si>
    <t>EDITOR FEE:</t>
  </si>
  <si>
    <t>DESP. DE VIAGEM:</t>
  </si>
  <si>
    <t>FINANCEIRO</t>
  </si>
  <si>
    <t>ACRESCIMO/DESCONTO:</t>
  </si>
  <si>
    <t>PREÇO UNITARIO:</t>
  </si>
  <si>
    <t>VALOR MINIMO:</t>
  </si>
  <si>
    <t>MÁXIMO - (Acréscimo/Desconto):</t>
  </si>
  <si>
    <t>MINIMO - (Acréscimo/Desconto):</t>
  </si>
  <si>
    <t>APROVADO</t>
  </si>
  <si>
    <t>CONSULTAR FINANCEIRO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</si>
  <si>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</si>
  <si>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</si>
  <si>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</si>
  <si>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</si>
  <si>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</si>
  <si>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</si>
  <si>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</si>
  <si>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</si>
  <si>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</si>
  <si>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</si>
  <si>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</si>
  <si>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 xml:space="preserve">BAYER SCHERING </t>
  </si>
  <si>
    <t>INDICE</t>
  </si>
  <si>
    <t>BIOLAB</t>
  </si>
  <si>
    <t>BOEHRINGER INGELHEIM</t>
  </si>
  <si>
    <t>BRISTOL MYERS SQUIBB</t>
  </si>
  <si>
    <t>CELLOFARMA</t>
  </si>
  <si>
    <t>ELI LILLY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</si>
  <si>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</si>
  <si>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</si>
  <si>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</si>
  <si>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</si>
  <si>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</si>
  <si>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</si>
  <si>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</si>
  <si>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</si>
  <si>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</si>
  <si>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</si>
  <si>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</si>
  <si>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</si>
  <si>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</si>
  <si>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</si>
  <si>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</si>
  <si>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</si>
  <si>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</si>
  <si>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</si>
  <si>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</si>
  <si>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NOVO NORDISK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</si>
  <si>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</si>
  <si>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</si>
  <si>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</si>
  <si>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</si>
  <si>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</si>
  <si>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</si>
  <si>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</si>
  <si>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</si>
  <si>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</si>
  <si>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</si>
  <si>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</si>
  <si>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</si>
  <si>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</si>
  <si>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CUSTOS</t>
  </si>
  <si>
    <t>FORMULARIOS</t>
  </si>
  <si>
    <t>DEPARTAMENTOS</t>
  </si>
  <si>
    <t>DATA DE FECHAMENTO:</t>
  </si>
  <si>
    <t>CAMPOS OBRIGATÓRIOS</t>
  </si>
  <si>
    <t>ARQUIVOS</t>
  </si>
  <si>
    <t>LINHA DE PRODUTOS</t>
  </si>
  <si>
    <t>CRIAÇÃO DE INTERVALOS DE EDIÇÕES</t>
  </si>
  <si>
    <t>ETAPAS</t>
  </si>
  <si>
    <t>NOVO</t>
  </si>
  <si>
    <t>PREÇO</t>
  </si>
  <si>
    <t>VENDIDO</t>
  </si>
  <si>
    <t>EXCLUIDO</t>
  </si>
  <si>
    <t>CANCELADO</t>
  </si>
  <si>
    <t>RE-CUSTO</t>
  </si>
  <si>
    <t>DESCONTO</t>
  </si>
  <si>
    <t>FORMULÁRIOS</t>
  </si>
  <si>
    <t>INTERVALO DE EDIÇÃO</t>
  </si>
  <si>
    <t>DECISÃO</t>
  </si>
  <si>
    <t>EMPRESA</t>
  </si>
  <si>
    <t>USUÁRIOS</t>
  </si>
  <si>
    <t>CONTROLE DE PESQUISAS</t>
  </si>
  <si>
    <t>BLOQUEIO DE FUNÇÕES ADMINISTRATIVAS</t>
  </si>
  <si>
    <t>LEMBRETES DE NOTIFICAÇÕES POR STATUS</t>
  </si>
  <si>
    <t>ORÇAMENTOS</t>
  </si>
  <si>
    <t>NOVO ORÇAMENTO</t>
  </si>
  <si>
    <t>TROCA DE VENDEDOR</t>
  </si>
  <si>
    <t>EXCLUSÃO VIRTUAL</t>
  </si>
  <si>
    <t>EXCLUSÃO TOTAL</t>
  </si>
  <si>
    <t>NOVA ETAPA</t>
  </si>
  <si>
    <t>FUNÇÕES ADMINISTRATIVAS</t>
  </si>
  <si>
    <t>CADASTRO DE FORMULÁRIOS</t>
  </si>
  <si>
    <t>CADASTRO DE USUÁRIOS</t>
  </si>
  <si>
    <t>EXPORTAÇÃO DE DADOS (PLANILHA)</t>
  </si>
  <si>
    <t>IMPORTAÇÃO DE DADOS (PLANILHA)</t>
  </si>
  <si>
    <t>ADMINISTRAÇÃO DE USUÁRIOS</t>
  </si>
  <si>
    <t>CADASTRO CENTRAL DE FORMULÁRIOS PARA INCLUSÃO DE DADOS</t>
  </si>
  <si>
    <t>CONTROLE DE FLUXO DE DADOS</t>
  </si>
  <si>
    <t>CONTROLE CENTRAL</t>
  </si>
  <si>
    <t>OPÇÕES</t>
  </si>
  <si>
    <t>ARQUIVO</t>
  </si>
  <si>
    <t>TODOS</t>
  </si>
  <si>
    <t>EM OBSERVAÇÃO</t>
  </si>
  <si>
    <t>EXECUÇÃO</t>
  </si>
  <si>
    <t>ATUAL</t>
  </si>
  <si>
    <t>PROXIMA</t>
  </si>
  <si>
    <t>LISTAS</t>
  </si>
  <si>
    <t>CLIENTES</t>
  </si>
  <si>
    <t>ACABAMENTOS</t>
  </si>
  <si>
    <t>IDIOMAS</t>
  </si>
  <si>
    <t>TIPO DE IMPRESSÃO</t>
  </si>
  <si>
    <t>NUMERO DE PÁGINAS</t>
  </si>
  <si>
    <t>PESQUISAR</t>
  </si>
  <si>
    <t>ALTERAR</t>
  </si>
  <si>
    <t>COPIAR</t>
  </si>
  <si>
    <t>EXCLUIR</t>
  </si>
  <si>
    <t>BANCO</t>
  </si>
  <si>
    <t>USUARIO PADRAO</t>
  </si>
  <si>
    <t>VOLTAR ETAPA</t>
  </si>
  <si>
    <t>CONTROLE DE USUARIOS</t>
  </si>
  <si>
    <t>Pesquisar Orçamentos</t>
  </si>
  <si>
    <t>Cadastro de novos Orçamentos</t>
  </si>
  <si>
    <t>Alterar Orçamento</t>
  </si>
  <si>
    <t>Criar cópia do Orçamento</t>
  </si>
  <si>
    <t>Excluir Orçamentos ( Virtual )</t>
  </si>
  <si>
    <t>Selecionar Banco de dados para trabalho</t>
  </si>
  <si>
    <t>Voltar Etapa do Orçamento</t>
  </si>
  <si>
    <t>Definir usuário padrão para uso da planilha</t>
  </si>
  <si>
    <t>Administração de usuários</t>
  </si>
  <si>
    <t>HOME OFFICE</t>
  </si>
  <si>
    <t>Exportar dados para Home Office (Planilha)</t>
  </si>
  <si>
    <t>Exportar dados para Empresa (Planilha)</t>
  </si>
  <si>
    <t>CAMPOS LISTAS</t>
  </si>
  <si>
    <t>ATUALIZAÇÃO DE FORMULAS X APOIO</t>
  </si>
  <si>
    <t>ANEXOS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</si>
  <si>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</si>
  <si>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</si>
  <si>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</si>
  <si>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</si>
  <si>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</si>
  <si>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</si>
  <si>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</si>
  <si>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</si>
  <si>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</si>
  <si>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</si>
  <si>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</si>
  <si>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</si>
  <si>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</si>
  <si>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</si>
  <si>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</si>
  <si>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</si>
  <si>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</si>
  <si>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</si>
  <si>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</si>
  <si>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</si>
  <si>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</si>
  <si>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</si>
  <si>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</si>
  <si>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</si>
  <si>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</si>
  <si>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</si>
  <si>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</si>
  <si>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</si>
  <si>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</si>
  <si>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</si>
  <si>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</si>
  <si>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</si>
  <si>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</si>
  <si>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</si>
  <si>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</si>
  <si>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</si>
  <si>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</si>
  <si>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</si>
  <si>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</si>
  <si>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</si>
  <si>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</si>
  <si>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</si>
  <si>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</si>
  <si>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</si>
  <si>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</si>
  <si>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</si>
  <si>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</si>
  <si>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</si>
  <si>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</si>
  <si>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</si>
  <si>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</si>
  <si>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</si>
  <si>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</si>
  <si>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</si>
  <si>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</si>
  <si>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</si>
  <si>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</si>
  <si>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</si>
  <si>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</si>
  <si>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</si>
  <si>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</si>
  <si>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</si>
  <si>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</si>
  <si>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</si>
  <si>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</si>
  <si>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</si>
  <si>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</si>
  <si>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</si>
  <si>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</si>
  <si>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</si>
  <si>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</si>
  <si>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</si>
  <si>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</si>
  <si>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</si>
  <si>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</si>
  <si>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</si>
  <si>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</si>
  <si>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</si>
  <si>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</si>
  <si>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</si>
  <si>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</si>
  <si>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</si>
  <si>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</si>
  <si>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</si>
  <si>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</si>
  <si>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</si>
  <si>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</si>
  <si>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</si>
  <si>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</si>
  <si>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</si>
  <si>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</si>
  <si>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</si>
  <si>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</si>
  <si>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</si>
  <si>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</si>
  <si>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</si>
  <si>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</si>
  <si>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</si>
  <si>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</si>
  <si>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</si>
  <si>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</si>
  <si>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</si>
  <si>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</si>
  <si>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</si>
  <si>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</si>
  <si>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</si>
  <si>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</si>
  <si>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</si>
  <si>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</si>
  <si>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</si>
  <si>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</si>
  <si>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</si>
  <si>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</si>
  <si>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</si>
  <si>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</si>
  <si>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</si>
  <si>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</si>
  <si>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</si>
  <si>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</si>
  <si>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</si>
  <si>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</si>
  <si>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</si>
  <si>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</si>
  <si>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</si>
  <si>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</si>
  <si>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</si>
  <si>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</si>
  <si>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</si>
  <si>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</si>
  <si>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</si>
  <si>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</si>
  <si>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</si>
  <si>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</si>
  <si>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</si>
  <si>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</si>
  <si>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</si>
  <si>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</si>
  <si>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</si>
  <si>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</si>
  <si>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</si>
  <si>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</si>
  <si>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</si>
  <si>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</si>
  <si>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</si>
  <si>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</si>
  <si>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</si>
  <si>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</si>
  <si>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</si>
  <si>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</si>
  <si>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</si>
  <si>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</si>
  <si>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</si>
  <si>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</si>
  <si>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</si>
  <si>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</si>
  <si>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</si>
  <si>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</si>
  <si>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</si>
  <si>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</si>
  <si>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</si>
  <si>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</si>
  <si>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</si>
  <si>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</si>
  <si>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</si>
  <si>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</si>
  <si>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</si>
  <si>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</si>
  <si>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</si>
  <si>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</si>
  <si>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</si>
  <si>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</si>
  <si>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</si>
  <si>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</si>
  <si>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</si>
  <si>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</si>
  <si>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</si>
  <si>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</si>
  <si>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</si>
  <si>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</si>
  <si>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</si>
  <si>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</si>
  <si>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</si>
  <si>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</si>
  <si>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</si>
  <si>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</si>
  <si>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</si>
  <si>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</si>
  <si>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</si>
  <si>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</si>
  <si>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</si>
  <si>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</si>
  <si>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</si>
  <si>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</si>
  <si>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</si>
  <si>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</si>
  <si>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</si>
  <si>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</si>
  <si>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</si>
  <si>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</si>
  <si>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</si>
  <si>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</si>
  <si>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</si>
  <si>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</si>
  <si>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</si>
  <si>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</si>
  <si>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</si>
  <si>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</si>
  <si>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</si>
  <si>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</si>
  <si>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</si>
  <si>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</si>
  <si>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</si>
  <si>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</si>
  <si>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</si>
  <si>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</si>
  <si>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</si>
  <si>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</si>
  <si>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</si>
  <si>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</si>
  <si>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</si>
  <si>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</si>
  <si>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</si>
  <si>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</si>
  <si>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</si>
  <si>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</si>
  <si>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</si>
  <si>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</si>
  <si>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</si>
  <si>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</si>
  <si>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</si>
  <si>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</si>
  <si>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</si>
  <si>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</si>
  <si>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</si>
  <si>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</si>
  <si>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</si>
  <si>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</si>
  <si>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</si>
  <si>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</si>
  <si>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</si>
  <si>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</si>
  <si>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</si>
  <si>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</si>
  <si>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</si>
  <si>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</si>
  <si>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</si>
  <si>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</si>
  <si>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</si>
  <si>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</si>
  <si>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</si>
  <si>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</si>
  <si>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</si>
  <si>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</si>
  <si>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</si>
  <si>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</si>
  <si>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</si>
  <si>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</si>
  <si>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</si>
  <si>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</si>
  <si>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</si>
  <si>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</si>
  <si>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</si>
  <si>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</si>
  <si>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</si>
  <si>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</si>
  <si>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</si>
  <si>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</si>
  <si>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</si>
  <si>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</si>
  <si>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</si>
  <si>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</si>
  <si>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</si>
  <si>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</si>
  <si>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</si>
  <si>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</si>
  <si>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</si>
  <si>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</si>
  <si>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</si>
  <si>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</si>
  <si>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</si>
  <si>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</si>
  <si>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</si>
  <si>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</si>
  <si>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</si>
  <si>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</si>
  <si>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</si>
  <si>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</si>
  <si>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</si>
  <si>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</si>
  <si>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</si>
  <si>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</si>
  <si>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</si>
  <si>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</si>
  <si>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</si>
  <si>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</si>
  <si>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</si>
  <si>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</si>
  <si>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</si>
  <si>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</si>
  <si>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</si>
  <si>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</si>
  <si>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</si>
  <si>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</si>
  <si>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</si>
  <si>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</si>
  <si>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</si>
  <si>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</si>
  <si>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</si>
  <si>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</si>
  <si>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</si>
  <si>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</si>
  <si>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</si>
  <si>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</si>
  <si>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</si>
  <si>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</si>
  <si>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</si>
  <si>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</si>
  <si>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</si>
  <si>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</si>
  <si>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</si>
  <si>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</si>
  <si>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</si>
  <si>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</si>
  <si>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</si>
  <si>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</si>
  <si>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</si>
  <si>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</si>
  <si>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</si>
  <si>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</si>
  <si>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</si>
  <si>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</si>
  <si>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</si>
  <si>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</si>
  <si>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</si>
  <si>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</si>
  <si>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</si>
  <si>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</si>
  <si>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</si>
  <si>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</si>
  <si>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</si>
  <si>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</si>
  <si>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</si>
  <si>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</si>
  <si>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</si>
  <si>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</si>
  <si>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</si>
  <si>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</si>
  <si>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</si>
  <si>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</si>
  <si>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</si>
  <si>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</si>
  <si>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</si>
  <si>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</si>
  <si>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</si>
  <si>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</si>
  <si>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</si>
  <si>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</si>
  <si>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</si>
  <si>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</si>
  <si>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</si>
  <si>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</si>
  <si>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</si>
  <si>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</si>
  <si>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</si>
  <si>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</si>
  <si>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</si>
  <si>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</si>
  <si>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</si>
  <si>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</si>
  <si>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</si>
  <si>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</si>
  <si>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</si>
  <si>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</si>
  <si>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</si>
  <si>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</si>
  <si>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</si>
  <si>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</si>
  <si>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</si>
  <si>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</si>
  <si>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</si>
  <si>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</si>
  <si>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</si>
  <si>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</si>
  <si>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</si>
  <si>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</si>
  <si>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</si>
  <si>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</si>
  <si>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</si>
  <si>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</si>
  <si>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</si>
  <si>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</si>
  <si>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</si>
  <si>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</si>
  <si>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</si>
  <si>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</si>
  <si>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</si>
  <si>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</si>
  <si>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</si>
  <si>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</si>
  <si>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</si>
  <si>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</si>
  <si>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</si>
  <si>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</si>
  <si>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</si>
  <si>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</si>
  <si>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</si>
  <si>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</si>
  <si>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</si>
  <si>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</si>
  <si>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</si>
  <si>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</si>
  <si>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</si>
  <si>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</si>
  <si>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</si>
  <si>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</si>
  <si>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</si>
  <si>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</si>
  <si>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</si>
  <si>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</si>
  <si>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</si>
  <si>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</si>
  <si>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</si>
  <si>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</si>
  <si>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</si>
  <si>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</si>
  <si>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</si>
  <si>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</si>
  <si>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</si>
  <si>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</si>
  <si>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</si>
  <si>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</si>
  <si>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</si>
  <si>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</si>
  <si>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</si>
  <si>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</si>
  <si>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</si>
  <si>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</si>
  <si>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</si>
  <si>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</si>
  <si>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</si>
  <si>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</si>
  <si>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</si>
  <si>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</si>
  <si>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</si>
  <si>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</si>
  <si>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</si>
  <si>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</si>
  <si>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</si>
  <si>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AILTON</t>
  </si>
  <si>
    <t>AILTON ZACARIAS DA SILVA</t>
  </si>
  <si>
    <t>teste de ACABAMENTO</t>
  </si>
  <si>
    <t>FRANCES</t>
  </si>
  <si>
    <t>xxxxxxxxxxx AILTON xxxxxxxxxxx</t>
  </si>
  <si>
    <t>APOIO</t>
  </si>
  <si>
    <t>SELEÇÃO PESSOAL</t>
  </si>
  <si>
    <t>ID</t>
  </si>
  <si>
    <t>ESCRITORIO</t>
  </si>
  <si>
    <t>C:\Users\Ailton\Desktop\tania\SERVER\dbOrcamentos-v03_121019-1815.MDB</t>
  </si>
  <si>
    <t>CASA</t>
  </si>
  <si>
    <t>C:\Users\Ailton\Desktop\tania\bin\121025-1056_dbHOME.mdb</t>
  </si>
  <si>
    <t>USUARIO</t>
  </si>
  <si>
    <t>AMBIENTE</t>
  </si>
  <si>
    <t>TESTES</t>
  </si>
  <si>
    <t>VALOR</t>
  </si>
  <si>
    <t>HISTORICO</t>
  </si>
  <si>
    <t>\\wkhserver\sistema de orçamentos\dbOrcamentos-v03_121112-1515.mdb</t>
  </si>
  <si>
    <t>C:\Users\user\Desktop\ORCAMENTOS\bin\130115-2104_dbHOME.mdb</t>
  </si>
  <si>
    <t>0</t>
  </si>
  <si>
    <t>TRANSPORTE:</t>
  </si>
  <si>
    <t>TANIA</t>
  </si>
  <si>
    <t/>
  </si>
  <si>
    <t>C:\Users\user\Desktop\@WORK\____MODELOS\Orcamentos\db\dbOrcamentos-v03_121112-1515.mdb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</si>
</sst>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</numFmts>
  <fonts count="4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1"/>
      <color indexed="8"/>
      <name val="Trebuchet MS"/>
      <family val="2"/>
    </font>
    <font>
      <b/>
      <sz val="14"/>
      <color indexed="62"/>
      <name val="Trebuchet MS"/>
      <family val="2"/>
    </font>
    <font>
      <b/>
      <sz val="16"/>
      <name val="Trebuchet MS"/>
      <family val="2"/>
    </font>
    <font>
      <b/>
      <sz val="10"/>
      <color indexed="8"/>
      <name val="Trebuchet MS"/>
      <family val="2"/>
    </font>
    <font>
      <b/>
      <sz val="12"/>
      <color indexed="10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9">
    <xf numFmtId="0" fontId="0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3" fillId="0" borderId="0" applyFont="0" applyFill="0" applyBorder="0" applyAlignment="0" applyProtection="0"/>
  </cellStyleXfs>
  <cellXfs count="217">
    <xf numFmtId="0" fontId="0" fillId="0" borderId="0" xfId="0"/>
    <xf numFmtId="0" fontId="4" fillId="0" borderId="0" xfId="7" applyFont="1" applyBorder="1"/>
    <xf numFmtId="0" fontId="4" fillId="0" borderId="0" xfId="7" applyFont="1" applyFill="1" applyBorder="1"/>
    <xf numFmtId="0" fontId="8" fillId="2" borderId="1" xfId="7" applyFont="1" applyFill="1" applyBorder="1" applyAlignment="1">
      <alignment horizontal="right" vertical="center" wrapText="1"/>
    </xf>
    <xf numFmtId="49" fontId="9" fillId="3" borderId="1" xfId="7" applyNumberFormat="1" applyFont="1" applyFill="1" applyBorder="1" applyAlignment="1">
      <alignment horizontal="right" vertical="center" wrapText="1"/>
    </xf>
    <xf numFmtId="0" fontId="5" fillId="0" borderId="0" xfId="7" applyFont="1" applyBorder="1"/>
    <xf numFmtId="49" fontId="9" fillId="3" borderId="2" xfId="7" applyNumberFormat="1" applyFont="1" applyFill="1" applyBorder="1" applyAlignment="1">
      <alignment horizontal="right" vertical="center"/>
    </xf>
    <xf numFmtId="0" fontId="5" fillId="0" borderId="0" xfId="7" applyFont="1" applyBorder="1" applyAlignment="1">
      <alignment horizontal="center"/>
    </xf>
    <xf numFmtId="0" fontId="5" fillId="0" borderId="0" xfId="7" applyFont="1" applyFill="1" applyBorder="1"/>
    <xf numFmtId="49" fontId="12" fillId="3" borderId="2" xfId="7" applyNumberFormat="1" applyFont="1" applyFill="1" applyBorder="1" applyAlignment="1">
      <alignment horizontal="right" vertical="center"/>
    </xf>
    <xf numFmtId="0" fontId="8" fillId="0" borderId="2" xfId="7" applyFont="1" applyFill="1" applyBorder="1" applyAlignment="1">
      <alignment horizontal="right" vertical="center"/>
    </xf>
    <xf numFmtId="0" fontId="8" fillId="4" borderId="2" xfId="7" applyFont="1" applyFill="1" applyBorder="1" applyAlignment="1">
      <alignment horizontal="right" vertical="center"/>
    </xf>
    <xf numFmtId="0" fontId="8" fillId="2" borderId="2" xfId="7" applyFont="1" applyFill="1" applyBorder="1" applyAlignment="1">
      <alignment horizontal="right"/>
    </xf>
    <xf numFmtId="0" fontId="8" fillId="5" borderId="2" xfId="7" applyFont="1" applyFill="1" applyBorder="1" applyAlignment="1">
      <alignment horizontal="right"/>
    </xf>
    <xf numFmtId="0" fontId="8" fillId="2" borderId="2" xfId="7" applyFont="1" applyFill="1" applyBorder="1" applyAlignment="1" applyProtection="1">
      <alignment horizontal="right"/>
    </xf>
    <xf numFmtId="0" fontId="17" fillId="6" borderId="2" xfId="7" applyFont="1" applyFill="1" applyBorder="1" applyAlignment="1">
      <alignment horizontal="right"/>
    </xf>
    <xf numFmtId="0" fontId="8" fillId="2" borderId="3" xfId="7" applyFont="1" applyFill="1" applyBorder="1" applyAlignment="1" applyProtection="1">
      <alignment horizontal="right"/>
    </xf>
    <xf numFmtId="0" fontId="8" fillId="5" borderId="4" xfId="7" applyFont="1" applyFill="1" applyBorder="1" applyAlignment="1">
      <alignment horizontal="right"/>
    </xf>
    <xf numFmtId="0" fontId="8" fillId="5" borderId="3" xfId="7" applyFont="1" applyFill="1" applyBorder="1" applyAlignment="1">
      <alignment horizontal="right"/>
    </xf>
    <xf numFmtId="0" fontId="7" fillId="0" borderId="0" xfId="7" applyFont="1" applyFill="1" applyBorder="1"/>
    <xf numFmtId="43" fontId="7" fillId="0" borderId="0" xfId="17" applyNumberFormat="1" applyFont="1" applyFill="1" applyBorder="1" applyAlignment="1">
      <alignment horizontal="center"/>
    </xf>
    <xf numFmtId="43" fontId="7" fillId="0" borderId="0" xfId="17" applyNumberFormat="1" applyFont="1" applyFill="1" applyBorder="1"/>
    <xf numFmtId="0" fontId="4" fillId="0" borderId="0" xfId="7" applyFont="1" applyFill="1" applyAlignment="1">
      <alignment horizontal="center"/>
    </xf>
    <xf numFmtId="0" fontId="7" fillId="7" borderId="0" xfId="7" applyFont="1" applyFill="1" applyBorder="1"/>
    <xf numFmtId="43" fontId="5" fillId="0" borderId="0" xfId="17" applyNumberFormat="1" applyFont="1" applyFill="1" applyBorder="1" applyAlignment="1">
      <alignment horizontal="center"/>
    </xf>
    <xf numFmtId="43" fontId="5" fillId="0" borderId="0" xfId="17" applyNumberFormat="1" applyFont="1" applyFill="1" applyBorder="1"/>
    <xf numFmtId="0" fontId="5" fillId="0" borderId="0" xfId="17" applyNumberFormat="1" applyFont="1" applyFill="1" applyBorder="1" applyAlignment="1">
      <alignment horizontal="center"/>
    </xf>
    <xf numFmtId="0" fontId="5" fillId="0" borderId="0" xfId="17" applyNumberFormat="1" applyFont="1" applyFill="1" applyBorder="1"/>
    <xf numFmtId="0" fontId="7" fillId="8" borderId="0" xfId="7" applyFont="1" applyFill="1" applyBorder="1"/>
    <xf numFmtId="0" fontId="4" fillId="0" borderId="0" xfId="7" applyFont="1" applyFill="1"/>
    <xf numFmtId="0" fontId="2" fillId="0" borderId="0" xfId="7"/>
    <xf numFmtId="49" fontId="18" fillId="3" borderId="1" xfId="7" applyNumberFormat="1" applyFont="1" applyFill="1" applyBorder="1" applyAlignment="1">
      <alignment horizontal="center"/>
    </xf>
    <xf numFmtId="0" fontId="4" fillId="0" borderId="1" xfId="7" applyFont="1" applyFill="1" applyBorder="1"/>
    <xf numFmtId="0" fontId="2" fillId="0" borderId="1" xfId="7" applyBorder="1"/>
    <xf numFmtId="168" fontId="4" fillId="0" borderId="1" xfId="7" applyNumberFormat="1" applyFont="1" applyFill="1" applyBorder="1" applyAlignment="1">
      <alignment horizontal="center"/>
    </xf>
    <xf numFmtId="49" fontId="18" fillId="3" borderId="5" xfId="7" applyNumberFormat="1" applyFont="1" applyFill="1" applyBorder="1" applyAlignment="1"/>
    <xf numFmtId="49" fontId="18" fillId="3" borderId="6" xfId="7" applyNumberFormat="1" applyFont="1" applyFill="1" applyBorder="1" applyAlignment="1"/>
    <xf numFmtId="49" fontId="18" fillId="3" borderId="7" xfId="7" applyNumberFormat="1" applyFont="1" applyFill="1" applyBorder="1" applyAlignment="1"/>
    <xf numFmtId="0" fontId="4" fillId="0" borderId="0" xfId="7" applyFont="1" applyFill="1" applyBorder="1" applyAlignment="1">
      <alignment horizontal="center"/>
    </xf>
    <xf numFmtId="0" fontId="19" fillId="0" borderId="0" xfId="7" applyFont="1" applyFill="1" applyBorder="1"/>
    <xf numFmtId="0" fontId="15" fillId="0" borderId="0" xfId="7" applyFont="1" applyFill="1" applyAlignment="1">
      <alignment vertical="center"/>
    </xf>
    <xf numFmtId="0" fontId="8" fillId="2" borderId="2" xfId="7" applyFont="1" applyFill="1" applyBorder="1" applyAlignment="1">
      <alignment horizontal="right" vertical="center"/>
    </xf>
    <xf numFmtId="0" fontId="22" fillId="0" borderId="0" xfId="0" applyFont="1"/>
    <xf numFmtId="0" fontId="23" fillId="9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6" fillId="0" borderId="0" xfId="7" applyFont="1" applyBorder="1" applyAlignment="1">
      <alignment horizontal="center" vertical="center"/>
    </xf>
    <xf numFmtId="0" fontId="25" fillId="0" borderId="0" xfId="7" applyFont="1" applyBorder="1" applyAlignment="1">
      <alignment horizontal="left"/>
    </xf>
    <xf numFmtId="0" fontId="25" fillId="0" borderId="0" xfId="7" applyFont="1" applyFill="1" applyBorder="1" applyAlignment="1">
      <alignment horizontal="left"/>
    </xf>
    <xf numFmtId="0" fontId="10" fillId="11" borderId="8" xfId="7" applyFont="1" applyFill="1" applyBorder="1" applyAlignment="1">
      <alignment horizontal="center" vertical="center"/>
    </xf>
    <xf numFmtId="49" fontId="4" fillId="0" borderId="1" xfId="11" applyNumberFormat="1" applyFont="1" applyBorder="1" applyAlignment="1">
      <alignment horizontal="center" vertical="top" wrapText="1"/>
    </xf>
    <xf numFmtId="0" fontId="2" fillId="0" borderId="0" xfId="7" applyBorder="1"/>
    <xf numFmtId="0" fontId="2" fillId="0" borderId="0" xfId="7" applyBorder="1" applyAlignment="1"/>
    <xf numFmtId="0" fontId="2" fillId="0" borderId="1" xfId="7" applyBorder="1" applyAlignment="1"/>
    <xf numFmtId="4" fontId="16" fillId="2" borderId="1" xfId="17" applyNumberFormat="1" applyFont="1" applyFill="1" applyBorder="1" applyAlignment="1" applyProtection="1">
      <alignment horizontal="center" vertical="center"/>
      <protection hidden="1"/>
    </xf>
    <xf numFmtId="4" fontId="16" fillId="2" borderId="8" xfId="17" applyNumberFormat="1" applyFont="1" applyFill="1" applyBorder="1" applyAlignment="1" applyProtection="1">
      <alignment horizontal="center" vertical="center"/>
      <protection hidden="1"/>
    </xf>
    <xf numFmtId="4" fontId="16" fillId="2" borderId="9" xfId="17" applyNumberFormat="1" applyFont="1" applyFill="1" applyBorder="1" applyAlignment="1" applyProtection="1">
      <alignment horizontal="center" vertical="center"/>
      <protection hidden="1"/>
    </xf>
    <xf numFmtId="4" fontId="16" fillId="2" borderId="10" xfId="17" applyNumberFormat="1" applyFont="1" applyFill="1" applyBorder="1" applyAlignment="1" applyProtection="1">
      <alignment horizontal="center" vertical="center"/>
      <protection hidden="1"/>
    </xf>
    <xf numFmtId="43" fontId="5" fillId="5" borderId="11" xfId="17" applyNumberFormat="1" applyFont="1" applyFill="1" applyBorder="1" applyAlignment="1" applyProtection="1">
      <alignment horizontal="center" vertical="center"/>
      <protection hidden="1"/>
    </xf>
    <xf numFmtId="43" fontId="16" fillId="5" borderId="1" xfId="17" applyNumberFormat="1" applyFont="1" applyFill="1" applyBorder="1" applyAlignment="1" applyProtection="1">
      <alignment horizontal="center" vertical="center"/>
      <protection hidden="1"/>
    </xf>
    <xf numFmtId="3" fontId="13" fillId="2" borderId="1" xfId="7" applyNumberFormat="1" applyFont="1" applyFill="1" applyBorder="1" applyAlignment="1" applyProtection="1">
      <alignment horizontal="center" vertical="center"/>
      <protection hidden="1"/>
    </xf>
    <xf numFmtId="3" fontId="13" fillId="2" borderId="8" xfId="7" applyNumberFormat="1" applyFont="1" applyFill="1" applyBorder="1" applyAlignment="1" applyProtection="1">
      <alignment horizontal="center" vertical="center"/>
      <protection hidden="1"/>
    </xf>
    <xf numFmtId="3" fontId="11" fillId="2" borderId="1" xfId="7" applyNumberFormat="1" applyFont="1" applyFill="1" applyBorder="1" applyAlignment="1" applyProtection="1">
      <alignment horizontal="center" vertical="center"/>
      <protection hidden="1"/>
    </xf>
    <xf numFmtId="3" fontId="11" fillId="2" borderId="8" xfId="7" applyNumberFormat="1" applyFont="1" applyFill="1" applyBorder="1" applyAlignment="1" applyProtection="1">
      <alignment horizontal="center" vertical="center"/>
      <protection hidden="1"/>
    </xf>
    <xf numFmtId="4" fontId="11" fillId="12" borderId="1" xfId="7" applyNumberFormat="1" applyFont="1" applyFill="1" applyBorder="1" applyAlignment="1" applyProtection="1">
      <alignment horizontal="center" vertical="center"/>
      <protection hidden="1"/>
    </xf>
    <xf numFmtId="4" fontId="11" fillId="12" borderId="8" xfId="7" applyNumberFormat="1" applyFont="1" applyFill="1" applyBorder="1" applyAlignment="1" applyProtection="1">
      <alignment horizontal="center" vertical="center"/>
      <protection hidden="1"/>
    </xf>
    <xf numFmtId="0" fontId="26" fillId="0" borderId="0" xfId="7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0" fontId="8" fillId="2" borderId="1" xfId="11" applyNumberFormat="1" applyFont="1" applyFill="1" applyBorder="1" applyAlignment="1" applyProtection="1">
      <alignment horizontal="center" vertical="center" wrapText="1"/>
      <protection hidden="1"/>
    </xf>
    <xf numFmtId="0" fontId="9" fillId="13" borderId="12" xfId="7" applyFont="1" applyFill="1" applyBorder="1" applyAlignment="1">
      <alignment horizontal="center" vertical="center" wrapText="1"/>
    </xf>
    <xf numFmtId="10" fontId="4" fillId="10" borderId="1" xfId="7" applyNumberFormat="1" applyFont="1" applyFill="1" applyBorder="1" applyAlignment="1">
      <alignment horizontal="right"/>
    </xf>
    <xf numFmtId="165" fontId="4" fillId="10" borderId="1" xfId="12" applyFont="1" applyFill="1" applyBorder="1" applyAlignment="1">
      <alignment horizontal="right"/>
    </xf>
    <xf numFmtId="49" fontId="4" fillId="10" borderId="1" xfId="7" applyNumberFormat="1" applyFont="1" applyFill="1" applyBorder="1" applyAlignment="1">
      <alignment horizontal="right"/>
    </xf>
    <xf numFmtId="4" fontId="4" fillId="10" borderId="1" xfId="7" applyNumberFormat="1" applyFont="1" applyFill="1" applyBorder="1" applyAlignment="1">
      <alignment horizontal="right"/>
    </xf>
    <xf numFmtId="2" fontId="4" fillId="10" borderId="1" xfId="7" applyNumberFormat="1" applyFont="1" applyFill="1" applyBorder="1" applyAlignment="1">
      <alignment horizontal="right"/>
    </xf>
    <xf numFmtId="0" fontId="11" fillId="2" borderId="2" xfId="7" applyFont="1" applyFill="1" applyBorder="1" applyAlignment="1">
      <alignment horizontal="right" vertical="center" wrapText="1"/>
    </xf>
    <xf numFmtId="0" fontId="11" fillId="0" borderId="0" xfId="7" applyFont="1" applyBorder="1" applyAlignment="1">
      <alignment wrapText="1"/>
    </xf>
    <xf numFmtId="0" fontId="29" fillId="0" borderId="0" xfId="7" applyFont="1" applyAlignment="1">
      <alignment wrapText="1"/>
    </xf>
    <xf numFmtId="0" fontId="18" fillId="0" borderId="0" xfId="7" applyFont="1" applyBorder="1"/>
    <xf numFmtId="0" fontId="5" fillId="16" borderId="1" xfId="7" applyFont="1" applyFill="1" applyBorder="1"/>
    <xf numFmtId="0" fontId="5" fillId="16" borderId="1" xfId="7" applyFont="1" applyFill="1" applyBorder="1" applyAlignment="1">
      <alignment horizontal="right"/>
    </xf>
    <xf numFmtId="2" fontId="5" fillId="16" borderId="1" xfId="7" applyNumberFormat="1" applyFont="1" applyFill="1" applyBorder="1" applyAlignment="1">
      <alignment horizontal="right"/>
    </xf>
    <xf numFmtId="2" fontId="31" fillId="16" borderId="1" xfId="7" applyNumberFormat="1" applyFont="1" applyFill="1" applyBorder="1" applyAlignment="1">
      <alignment horizontal="right"/>
    </xf>
    <xf numFmtId="0" fontId="34" fillId="0" borderId="0" xfId="0" applyFont="1"/>
    <xf numFmtId="0" fontId="35" fillId="0" borderId="0" xfId="7" applyFont="1" applyFill="1" applyBorder="1"/>
    <xf numFmtId="0" fontId="0" fillId="0" borderId="1" xfId="0" applyFill="1" applyBorder="1" applyAlignment="1">
      <alignment horizontal="center" vertical="center"/>
    </xf>
    <xf numFmtId="0" fontId="36" fillId="0" borderId="0" xfId="0" applyFont="1" applyFill="1"/>
    <xf numFmtId="0" fontId="36" fillId="0" borderId="1" xfId="0" applyFont="1" applyFill="1" applyBorder="1" applyAlignment="1">
      <alignment horizontal="center" vertical="center"/>
    </xf>
    <xf numFmtId="0" fontId="24" fillId="0" borderId="0" xfId="0" applyFont="1" applyFill="1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0" fontId="39" fillId="17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 wrapText="1"/>
    </xf>
    <xf numFmtId="0" fontId="24" fillId="10" borderId="5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 wrapText="1"/>
    </xf>
    <xf numFmtId="0" fontId="24" fillId="10" borderId="22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24" fillId="10" borderId="23" xfId="0" applyFont="1" applyFill="1" applyBorder="1" applyAlignment="1">
      <alignment horizontal="center" vertical="center" wrapText="1"/>
    </xf>
    <xf numFmtId="0" fontId="41" fillId="0" borderId="0" xfId="0" applyFont="1" applyFill="1"/>
    <xf numFmtId="0" fontId="24" fillId="0" borderId="1" xfId="0" applyFont="1" applyFill="1" applyBorder="1" applyAlignment="1">
      <alignment horizontal="center" vertical="center" wrapText="1"/>
    </xf>
    <xf numFmtId="0" fontId="37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40" fillId="17" borderId="1" xfId="0" applyFont="1" applyFill="1" applyBorder="1" applyAlignment="1">
      <alignment horizontal="center" vertical="center"/>
    </xf>
    <xf numFmtId="0" fontId="39" fillId="18" borderId="1" xfId="0" applyFont="1" applyFill="1" applyBorder="1" applyAlignment="1">
      <alignment horizontal="center" vertical="center"/>
    </xf>
    <xf numFmtId="39" fontId="13" fillId="11" borderId="1" xfId="6" applyNumberFormat="1" applyFont="1" applyFill="1" applyBorder="1" applyAlignment="1">
      <alignment horizontal="center" vertical="center"/>
    </xf>
    <xf numFmtId="39" fontId="13" fillId="11" borderId="1" xfId="6" applyNumberFormat="1" applyFont="1" applyFill="1" applyBorder="1" applyAlignment="1" applyProtection="1">
      <alignment horizontal="center" vertical="center"/>
    </xf>
    <xf numFmtId="4" fontId="5" fillId="0" borderId="0" xfId="7" applyNumberFormat="1" applyFont="1" applyFill="1" applyBorder="1"/>
    <xf numFmtId="0" fontId="42" fillId="2" borderId="0" xfId="7" applyFont="1" applyFill="1" applyBorder="1" applyAlignment="1">
      <alignment vertical="center"/>
    </xf>
    <xf numFmtId="0" fontId="43" fillId="2" borderId="0" xfId="7" applyFont="1" applyFill="1" applyBorder="1" applyAlignment="1">
      <alignment vertical="center"/>
    </xf>
    <xf numFmtId="0" fontId="44" fillId="2" borderId="0" xfId="7" applyFont="1" applyFill="1" applyBorder="1" applyAlignment="1">
      <alignment vertical="center" wrapText="1"/>
    </xf>
    <xf numFmtId="3" fontId="13" fillId="11" borderId="1" xfId="7" applyNumberFormat="1" applyFont="1" applyFill="1" applyBorder="1" applyAlignment="1" applyProtection="1">
      <alignment horizontal="center" vertical="center"/>
    </xf>
    <xf numFmtId="4" fontId="5" fillId="0" borderId="1" xfId="7" applyNumberFormat="1" applyFont="1" applyBorder="1"/>
    <xf numFmtId="0" fontId="8" fillId="11" borderId="1" xfId="7" applyFont="1" applyFill="1" applyBorder="1" applyAlignment="1">
      <alignment horizontal="center" vertical="center" wrapText="1"/>
    </xf>
    <xf numFmtId="0" fontId="8" fillId="11" borderId="1" xfId="7" applyFont="1" applyFill="1" applyBorder="1" applyAlignment="1" applyProtection="1">
      <alignment horizontal="center" vertical="center" wrapText="1"/>
    </xf>
    <xf numFmtId="0" fontId="8" fillId="11" borderId="1" xfId="7" applyFont="1" applyFill="1" applyBorder="1" applyAlignment="1" applyProtection="1">
      <alignment horizontal="center" vertical="center"/>
    </xf>
    <xf numFmtId="3" fontId="8" fillId="11" borderId="1" xfId="17" applyNumberFormat="1" applyFont="1" applyFill="1" applyBorder="1" applyAlignment="1" applyProtection="1">
      <alignment horizontal="center" vertical="center"/>
    </xf>
    <xf numFmtId="3" fontId="11" fillId="11" borderId="1" xfId="17" applyNumberFormat="1" applyFont="1" applyFill="1" applyBorder="1" applyAlignment="1" applyProtection="1">
      <alignment horizontal="center" vertical="center" wrapText="1"/>
    </xf>
    <xf numFmtId="167" fontId="8" fillId="11" borderId="1" xfId="7" applyNumberFormat="1" applyFont="1" applyFill="1" applyBorder="1" applyAlignment="1">
      <alignment horizontal="center" vertical="center" wrapText="1"/>
    </xf>
    <xf numFmtId="9" fontId="8" fillId="11" borderId="1" xfId="7" applyNumberFormat="1" applyFont="1" applyFill="1" applyBorder="1" applyAlignment="1" applyProtection="1">
      <alignment horizontal="center" vertical="center" wrapText="1"/>
    </xf>
    <xf numFmtId="4" fontId="8" fillId="11" borderId="1" xfId="7" applyNumberFormat="1" applyFont="1" applyFill="1" applyBorder="1" applyAlignment="1">
      <alignment horizontal="center" vertical="center" wrapText="1"/>
    </xf>
    <xf numFmtId="4" fontId="8" fillId="11" borderId="1" xfId="7" applyNumberFormat="1" applyFont="1" applyFill="1" applyBorder="1" applyAlignment="1" applyProtection="1">
      <alignment horizontal="center" vertical="center" wrapText="1"/>
    </xf>
    <xf numFmtId="3" fontId="13" fillId="11" borderId="8" xfId="7" applyNumberFormat="1" applyFont="1" applyFill="1" applyBorder="1" applyAlignment="1" applyProtection="1">
      <alignment horizontal="center" vertical="center"/>
    </xf>
    <xf numFmtId="0" fontId="8" fillId="11" borderId="12" xfId="7" applyFont="1" applyFill="1" applyBorder="1" applyAlignment="1"/>
    <xf numFmtId="0" fontId="8" fillId="11" borderId="6" xfId="7" applyFont="1" applyFill="1" applyBorder="1" applyAlignment="1"/>
    <xf numFmtId="0" fontId="8" fillId="11" borderId="13" xfId="7" applyFont="1" applyFill="1" applyBorder="1" applyAlignment="1"/>
    <xf numFmtId="0" fontId="8" fillId="11" borderId="12" xfId="7" applyFont="1" applyFill="1" applyBorder="1" applyAlignment="1">
      <alignment horizontal="left" wrapText="1"/>
    </xf>
    <xf numFmtId="0" fontId="8" fillId="11" borderId="6" xfId="7" applyFont="1" applyFill="1" applyBorder="1" applyAlignment="1">
      <alignment horizontal="left" wrapText="1"/>
    </xf>
    <xf numFmtId="0" fontId="8" fillId="11" borderId="13" xfId="7" applyFont="1" applyFill="1" applyBorder="1" applyAlignment="1">
      <alignment horizontal="left" wrapText="1"/>
    </xf>
    <xf numFmtId="0" fontId="8" fillId="11" borderId="1" xfId="7" applyFont="1" applyFill="1" applyBorder="1" applyAlignment="1">
      <alignment horizontal="left" vertical="center"/>
    </xf>
    <xf numFmtId="0" fontId="21" fillId="14" borderId="14" xfId="7" applyFont="1" applyFill="1" applyBorder="1" applyAlignment="1">
      <alignment horizontal="center"/>
    </xf>
    <xf numFmtId="0" fontId="21" fillId="14" borderId="14" xfId="7" applyFont="1" applyFill="1" applyBorder="1" applyAlignment="1">
      <alignment horizontal="center" vertical="center"/>
    </xf>
    <xf numFmtId="0" fontId="28" fillId="4" borderId="15" xfId="2" applyFill="1" applyBorder="1" applyAlignment="1" applyProtection="1">
      <alignment horizontal="center"/>
    </xf>
    <xf numFmtId="0" fontId="18" fillId="4" borderId="16" xfId="7" applyFont="1" applyFill="1" applyBorder="1" applyAlignment="1">
      <alignment horizontal="center"/>
    </xf>
    <xf numFmtId="0" fontId="18" fillId="4" borderId="17" xfId="7" applyFont="1" applyFill="1" applyBorder="1" applyAlignment="1">
      <alignment horizontal="center"/>
    </xf>
    <xf numFmtId="0" fontId="20" fillId="14" borderId="14" xfId="7" applyFont="1" applyFill="1" applyBorder="1" applyAlignment="1">
      <alignment horizontal="center" vertical="center"/>
    </xf>
    <xf numFmtId="0" fontId="6" fillId="2" borderId="2" xfId="7" applyFont="1" applyFill="1" applyBorder="1" applyAlignment="1">
      <alignment horizontal="center"/>
    </xf>
    <xf numFmtId="0" fontId="6" fillId="2" borderId="1" xfId="7" applyFont="1" applyFill="1" applyBorder="1" applyAlignment="1">
      <alignment horizontal="center"/>
    </xf>
    <xf numFmtId="0" fontId="6" fillId="2" borderId="8" xfId="7" applyFont="1" applyFill="1" applyBorder="1" applyAlignment="1">
      <alignment horizontal="center"/>
    </xf>
    <xf numFmtId="49" fontId="10" fillId="11" borderId="12" xfId="7" applyNumberFormat="1" applyFont="1" applyFill="1" applyBorder="1" applyAlignment="1">
      <alignment horizontal="center" vertical="center"/>
    </xf>
    <xf numFmtId="0" fontId="10" fillId="11" borderId="6" xfId="7" applyNumberFormat="1" applyFont="1" applyFill="1" applyBorder="1" applyAlignment="1">
      <alignment horizontal="center" vertical="center"/>
    </xf>
    <xf numFmtId="0" fontId="10" fillId="11" borderId="7" xfId="7" applyNumberFormat="1" applyFont="1" applyFill="1" applyBorder="1" applyAlignment="1">
      <alignment horizontal="center" vertical="center"/>
    </xf>
    <xf numFmtId="166" fontId="8" fillId="11" borderId="5" xfId="7" applyNumberFormat="1" applyFont="1" applyFill="1" applyBorder="1" applyAlignment="1">
      <alignment horizontal="center" vertical="center"/>
    </xf>
    <xf numFmtId="166" fontId="8" fillId="11" borderId="7" xfId="7" applyNumberFormat="1" applyFont="1" applyFill="1" applyBorder="1" applyAlignment="1">
      <alignment horizontal="center" vertical="center"/>
    </xf>
    <xf numFmtId="0" fontId="8" fillId="2" borderId="1" xfId="7" applyFont="1" applyFill="1" applyBorder="1" applyAlignment="1">
      <alignment horizontal="center" vertical="center" wrapText="1"/>
    </xf>
    <xf numFmtId="0" fontId="8" fillId="11" borderId="1" xfId="7" applyFont="1" applyFill="1" applyBorder="1" applyAlignment="1" applyProtection="1">
      <alignment horizontal="left" vertical="top" wrapText="1"/>
      <protection locked="0"/>
    </xf>
    <xf numFmtId="0" fontId="8" fillId="11" borderId="1" xfId="7" applyFont="1" applyFill="1" applyBorder="1" applyAlignment="1" applyProtection="1">
      <alignment horizontal="left" vertical="top"/>
      <protection locked="0"/>
    </xf>
    <xf numFmtId="0" fontId="8" fillId="11" borderId="1" xfId="7" applyFont="1" applyFill="1" applyBorder="1" applyAlignment="1">
      <alignment horizontal="left"/>
    </xf>
    <xf numFmtId="0" fontId="8" fillId="11" borderId="8" xfId="7" applyFont="1" applyFill="1" applyBorder="1" applyAlignment="1">
      <alignment horizontal="left"/>
    </xf>
    <xf numFmtId="44" fontId="10" fillId="11" borderId="8" xfId="3" applyFont="1" applyFill="1" applyBorder="1" applyAlignment="1">
      <alignment horizontal="center" vertical="center"/>
    </xf>
    <xf numFmtId="0" fontId="5" fillId="5" borderId="24" xfId="7" applyFont="1" applyFill="1" applyBorder="1" applyAlignment="1">
      <alignment horizontal="center" vertical="center" textRotation="255"/>
    </xf>
    <xf numFmtId="0" fontId="5" fillId="5" borderId="25" xfId="7" applyFont="1" applyFill="1" applyBorder="1" applyAlignment="1">
      <alignment horizontal="center" vertical="center" textRotation="255"/>
    </xf>
    <xf numFmtId="0" fontId="5" fillId="5" borderId="26" xfId="7" applyFont="1" applyFill="1" applyBorder="1" applyAlignment="1">
      <alignment horizontal="center" vertical="center" textRotation="255"/>
    </xf>
    <xf numFmtId="0" fontId="8" fillId="2" borderId="2" xfId="7" applyFont="1" applyFill="1" applyBorder="1" applyAlignment="1">
      <alignment horizontal="right" vertical="center"/>
    </xf>
    <xf numFmtId="0" fontId="11" fillId="11" borderId="1" xfId="7" applyFont="1" applyFill="1" applyBorder="1" applyAlignment="1" applyProtection="1">
      <alignment horizontal="center" vertical="center"/>
    </xf>
    <xf numFmtId="0" fontId="11" fillId="11" borderId="5" xfId="7" applyFont="1" applyFill="1" applyBorder="1" applyAlignment="1" applyProtection="1">
      <alignment horizontal="center" vertical="center"/>
    </xf>
    <xf numFmtId="0" fontId="11" fillId="11" borderId="7" xfId="7" applyFont="1" applyFill="1" applyBorder="1" applyAlignment="1" applyProtection="1">
      <alignment horizontal="center" vertical="center"/>
    </xf>
    <xf numFmtId="0" fontId="8" fillId="11" borderId="5" xfId="7" applyFont="1" applyFill="1" applyBorder="1" applyAlignment="1">
      <alignment horizontal="left"/>
    </xf>
    <xf numFmtId="0" fontId="8" fillId="11" borderId="6" xfId="7" applyFont="1" applyFill="1" applyBorder="1" applyAlignment="1">
      <alignment horizontal="left"/>
    </xf>
    <xf numFmtId="0" fontId="8" fillId="11" borderId="13" xfId="7" applyFont="1" applyFill="1" applyBorder="1" applyAlignment="1">
      <alignment horizontal="left"/>
    </xf>
    <xf numFmtId="0" fontId="9" fillId="13" borderId="12" xfId="7" applyFont="1" applyFill="1" applyBorder="1" applyAlignment="1">
      <alignment horizontal="center" vertical="center" wrapText="1"/>
    </xf>
    <xf numFmtId="0" fontId="9" fillId="13" borderId="6" xfId="7" applyFont="1" applyFill="1" applyBorder="1" applyAlignment="1">
      <alignment horizontal="center" vertical="center" wrapText="1"/>
    </xf>
    <xf numFmtId="0" fontId="9" fillId="13" borderId="13" xfId="7" applyFont="1" applyFill="1" applyBorder="1" applyAlignment="1">
      <alignment horizontal="center" vertical="center" wrapText="1"/>
    </xf>
    <xf numFmtId="0" fontId="10" fillId="11" borderId="5" xfId="7" applyFont="1" applyFill="1" applyBorder="1" applyAlignment="1">
      <alignment horizontal="center" vertical="center"/>
    </xf>
    <xf numFmtId="0" fontId="10" fillId="11" borderId="7" xfId="7" applyFont="1" applyFill="1" applyBorder="1" applyAlignment="1">
      <alignment horizontal="center" vertical="center"/>
    </xf>
    <xf numFmtId="0" fontId="5" fillId="2" borderId="2" xfId="7" applyFont="1" applyFill="1" applyBorder="1" applyAlignment="1">
      <alignment horizontal="left"/>
    </xf>
    <xf numFmtId="0" fontId="5" fillId="0" borderId="1" xfId="7" applyFont="1" applyBorder="1" applyAlignment="1"/>
    <xf numFmtId="0" fontId="5" fillId="0" borderId="8" xfId="7" applyFont="1" applyBorder="1" applyAlignment="1"/>
    <xf numFmtId="0" fontId="5" fillId="6" borderId="12" xfId="7" applyFont="1" applyFill="1" applyBorder="1" applyAlignment="1">
      <alignment horizontal="center"/>
    </xf>
    <xf numFmtId="0" fontId="5" fillId="6" borderId="6" xfId="7" applyFont="1" applyFill="1" applyBorder="1" applyAlignment="1">
      <alignment horizontal="center"/>
    </xf>
    <xf numFmtId="0" fontId="5" fillId="6" borderId="13" xfId="7" applyFont="1" applyFill="1" applyBorder="1" applyAlignment="1">
      <alignment horizontal="center"/>
    </xf>
    <xf numFmtId="0" fontId="14" fillId="2" borderId="12" xfId="7" applyFont="1" applyFill="1" applyBorder="1" applyAlignment="1">
      <alignment horizontal="center" vertical="center"/>
    </xf>
    <xf numFmtId="0" fontId="14" fillId="2" borderId="6" xfId="7" applyFont="1" applyFill="1" applyBorder="1" applyAlignment="1">
      <alignment horizontal="center" vertical="center"/>
    </xf>
    <xf numFmtId="0" fontId="14" fillId="2" borderId="13" xfId="7" applyFont="1" applyFill="1" applyBorder="1" applyAlignment="1">
      <alignment horizontal="center" vertical="center"/>
    </xf>
    <xf numFmtId="0" fontId="8" fillId="6" borderId="12" xfId="7" applyFont="1" applyFill="1" applyBorder="1" applyAlignment="1">
      <alignment horizontal="center"/>
    </xf>
    <xf numFmtId="0" fontId="8" fillId="6" borderId="6" xfId="7" applyFont="1" applyFill="1" applyBorder="1" applyAlignment="1">
      <alignment horizontal="center"/>
    </xf>
    <xf numFmtId="0" fontId="8" fillId="6" borderId="13" xfId="7" applyFont="1" applyFill="1" applyBorder="1" applyAlignment="1">
      <alignment horizontal="center"/>
    </xf>
    <xf numFmtId="0" fontId="13" fillId="6" borderId="1" xfId="7" applyFont="1" applyFill="1" applyBorder="1" applyAlignment="1">
      <alignment horizontal="left"/>
    </xf>
    <xf numFmtId="0" fontId="13" fillId="6" borderId="8" xfId="7" applyFont="1" applyFill="1" applyBorder="1" applyAlignment="1">
      <alignment horizontal="left"/>
    </xf>
    <xf numFmtId="0" fontId="7" fillId="3" borderId="18" xfId="7" applyFont="1" applyFill="1" applyBorder="1" applyAlignment="1">
      <alignment horizontal="center" vertical="center" textRotation="255"/>
    </xf>
    <xf numFmtId="0" fontId="7" fillId="3" borderId="19" xfId="7" applyFont="1" applyFill="1" applyBorder="1" applyAlignment="1">
      <alignment horizontal="center" vertical="center" textRotation="255"/>
    </xf>
    <xf numFmtId="0" fontId="7" fillId="3" borderId="20" xfId="7" applyFont="1" applyFill="1" applyBorder="1" applyAlignment="1">
      <alignment horizontal="center" vertical="center" textRotation="255"/>
    </xf>
    <xf numFmtId="0" fontId="7" fillId="7" borderId="18" xfId="7" applyFont="1" applyFill="1" applyBorder="1" applyAlignment="1">
      <alignment horizontal="center" vertical="center" textRotation="255"/>
    </xf>
    <xf numFmtId="0" fontId="7" fillId="7" borderId="19" xfId="7" applyFont="1" applyFill="1" applyBorder="1" applyAlignment="1">
      <alignment horizontal="center" vertical="center" textRotation="255"/>
    </xf>
    <xf numFmtId="0" fontId="7" fillId="7" borderId="20" xfId="7" applyFont="1" applyFill="1" applyBorder="1" applyAlignment="1">
      <alignment horizontal="center" vertical="center" textRotation="255"/>
    </xf>
    <xf numFmtId="49" fontId="8" fillId="11" borderId="12" xfId="7" applyNumberFormat="1" applyFont="1" applyFill="1" applyBorder="1" applyAlignment="1">
      <alignment horizontal="left"/>
    </xf>
    <xf numFmtId="49" fontId="8" fillId="11" borderId="6" xfId="7" applyNumberFormat="1" applyFont="1" applyFill="1" applyBorder="1" applyAlignment="1">
      <alignment horizontal="left"/>
    </xf>
    <xf numFmtId="49" fontId="8" fillId="11" borderId="13" xfId="7" applyNumberFormat="1" applyFont="1" applyFill="1" applyBorder="1" applyAlignment="1">
      <alignment horizontal="left"/>
    </xf>
    <xf numFmtId="0" fontId="39" fillId="18" borderId="5" xfId="0" applyFont="1" applyFill="1" applyBorder="1" applyAlignment="1">
      <alignment horizontal="center" vertical="center" wrapText="1"/>
    </xf>
    <xf numFmtId="0" fontId="39" fillId="18" borderId="6" xfId="0" applyFont="1" applyFill="1" applyBorder="1" applyAlignment="1">
      <alignment horizontal="center" vertical="center" wrapText="1"/>
    </xf>
    <xf numFmtId="0" fontId="39" fillId="18" borderId="7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24" fillId="10" borderId="1" xfId="0" applyFont="1" applyFill="1" applyBorder="1" applyAlignment="1">
      <alignment horizontal="center" vertical="center" wrapText="1"/>
    </xf>
    <xf numFmtId="0" fontId="23" fillId="15" borderId="1" xfId="0" applyFont="1" applyFill="1" applyBorder="1" applyAlignment="1">
      <alignment horizontal="center"/>
    </xf>
    <xf numFmtId="0" fontId="23" fillId="15" borderId="5" xfId="0" applyFont="1" applyFill="1" applyBorder="1" applyAlignment="1">
      <alignment horizontal="center"/>
    </xf>
    <xf numFmtId="0" fontId="23" fillId="15" borderId="6" xfId="0" applyFont="1" applyFill="1" applyBorder="1" applyAlignment="1">
      <alignment horizontal="center"/>
    </xf>
    <xf numFmtId="0" fontId="23" fillId="15" borderId="7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39" fillId="17" borderId="5" xfId="0" applyFont="1" applyFill="1" applyBorder="1" applyAlignment="1">
      <alignment horizontal="center"/>
    </xf>
    <xf numFmtId="0" fontId="39" fillId="17" borderId="6" xfId="0" applyFont="1" applyFill="1" applyBorder="1" applyAlignment="1">
      <alignment horizontal="center"/>
    </xf>
    <xf numFmtId="0" fontId="39" fillId="17" borderId="7" xfId="0" applyFont="1" applyFill="1" applyBorder="1" applyAlignment="1">
      <alignment horizontal="center"/>
    </xf>
    <xf numFmtId="0" fontId="24" fillId="10" borderId="5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/>
    </xf>
    <xf numFmtId="0" fontId="24" fillId="10" borderId="21" xfId="0" applyFont="1" applyFill="1" applyBorder="1" applyAlignment="1">
      <alignment horizontal="center" vertical="center" wrapText="1"/>
    </xf>
    <xf numFmtId="0" fontId="24" fillId="10" borderId="22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0" fillId="0" borderId="1" xfId="0" applyFont="1" applyBorder="1" applyAlignment="1">
      <alignment horizontal="center" vertical="center"/>
    </xf>
  </cellXfs>
  <cellStyles count="19">
    <cellStyle name="Comma" xfId="12" builtinId="3"/>
    <cellStyle name="Hiperlink 2" xfId="1" xr:uid="{00000000-0005-0000-0000-000000000000}"/>
    <cellStyle name="Hyperlink" xfId="2" builtinId="8"/>
    <cellStyle name="Moeda 2" xfId="3" xr:uid="{00000000-0005-0000-0000-000002000000}"/>
    <cellStyle name="Moeda 2 2" xfId="4" xr:uid="{00000000-0005-0000-0000-000003000000}"/>
    <cellStyle name="Moeda 3" xfId="5" xr:uid="{00000000-0005-0000-0000-000004000000}"/>
    <cellStyle name="Moeda_Pedido de Orçamento Roberto 2" xfId="6" xr:uid="{00000000-0005-0000-0000-000005000000}"/>
    <cellStyle name="Normal" xfId="0" builtinId="0"/>
    <cellStyle name="Normal 2" xfId="7" xr:uid="{00000000-0005-0000-0000-000007000000}"/>
    <cellStyle name="Normal 2 2" xfId="8" xr:uid="{00000000-0005-0000-0000-000008000000}"/>
    <cellStyle name="Normal 3" xfId="9" xr:uid="{00000000-0005-0000-0000-000009000000}"/>
    <cellStyle name="Normal 4" xfId="10" xr:uid="{00000000-0005-0000-0000-00000A000000}"/>
    <cellStyle name="Percent" xfId="11" builtinId="5"/>
    <cellStyle name="Separador de milhares 2" xfId="13" xr:uid="{00000000-0005-0000-0000-00000D000000}"/>
    <cellStyle name="Separador de milhares 2 2" xfId="14" xr:uid="{00000000-0005-0000-0000-00000E000000}"/>
    <cellStyle name="Separador de milhares 2 2 2" xfId="15" xr:uid="{00000000-0005-0000-0000-00000F000000}"/>
    <cellStyle name="Separador de milhares 2 3" xfId="16" xr:uid="{00000000-0005-0000-0000-000010000000}"/>
    <cellStyle name="Separador de milhares_Pedido de Orçamento Roberto_ORCAMENTO_VENDAS_VDS - 001-150 2" xfId="17" xr:uid="{00000000-0005-0000-0000-000011000000}"/>
    <cellStyle name="Vírgula 2" xfId="18" xr:uid="{00000000-0005-0000-0000-000012000000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7550" name="Picture 16">
          <a:extLst>
            <a:ext uri="{FF2B5EF4-FFF2-40B4-BE49-F238E27FC236}">
              <a16:creationId xmlns:a16="http://schemas.microsoft.com/office/drawing/2014/main" id="{00000000-0008-0000-0000-00007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4575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bOrcamentos-v03_121112-1515.mdb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dbOrcamentos-v03_121112-1515.m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6">
    <tabColor indexed="13"/>
    <pageSetUpPr fitToPage="1"/>
  </sheetPr>
  <dimension ref="A1:HV1048566"/>
  <sheetViews>
    <sheetView showGridLines="0" tabSelected="1" zoomScale="70" zoomScaleNormal="70" zoomScaleSheetLayoutView="85" workbookViewId="0">
      <selection activeCell="C4" sqref="C4:E4"/>
    </sheetView>
  </sheetViews>
  <sheetFormatPr defaultRowHeight="15.75" x14ac:dyDescent="0.3"/>
  <cols>
    <col min="1" max="1" width="12" style="2" customWidth="1"/>
    <col min="2" max="2" width="39.140625" style="2" customWidth="1"/>
    <col min="3" max="3" width="19.7109375" style="38" customWidth="1"/>
    <col min="4" max="4" width="19.42578125" style="38" customWidth="1"/>
    <col min="5" max="5" width="19.7109375" style="2" customWidth="1"/>
    <col min="6" max="6" width="23.85546875" style="2" customWidth="1"/>
    <col min="7" max="7" width="19.7109375" style="29" customWidth="1"/>
    <col min="8" max="8" width="21.7109375" style="29" customWidth="1"/>
    <col min="9" max="9" width="19.7109375" style="29" customWidth="1"/>
    <col min="10" max="10" width="37.85546875" style="29" customWidth="1"/>
    <col min="11" max="11" width="7.140625" style="112" bestFit="1" customWidth="1"/>
    <col min="12" max="12" width="28.140625" style="2" hidden="1" customWidth="1"/>
    <col min="13" max="13" width="11.85546875" style="2" hidden="1" customWidth="1"/>
    <col min="14" max="14" width="10.85546875" style="2" hidden="1" customWidth="1"/>
    <col min="15" max="15" width="13.5703125" style="2" hidden="1" customWidth="1"/>
    <col min="16" max="16" width="22.85546875" style="2" hidden="1" customWidth="1"/>
    <col min="17" max="18" width="9.140625" style="2" hidden="1" customWidth="1"/>
    <col min="19" max="19" width="13.42578125" style="2" hidden="1" customWidth="1"/>
    <col min="20" max="26" width="9.140625" style="2" hidden="1" customWidth="1"/>
    <col min="27" max="28" width="9.140625" style="2" customWidth="1"/>
    <col min="29" max="38" width="9.140625" customWidth="1"/>
    <col min="39" max="230" width="9.140625" style="2" customWidth="1"/>
    <col min="231" max="231" width="28.7109375" style="2" customWidth="1"/>
    <col min="232" max="232" width="39.140625" style="2" customWidth="1"/>
    <col min="233" max="235" width="19.7109375" style="2" customWidth="1"/>
    <col min="236" max="236" width="21.5703125" style="2" customWidth="1"/>
    <col min="237" max="239" width="19.7109375" style="2" customWidth="1"/>
    <col min="240" max="240" width="37.85546875" style="2" customWidth="1"/>
    <col min="241" max="241" width="26.85546875" style="2" customWidth="1"/>
    <col min="242" max="242" width="36.7109375" style="2" customWidth="1"/>
    <col min="243" max="243" width="3" style="2" customWidth="1"/>
    <col min="244" max="244" width="30" style="2" customWidth="1"/>
    <col min="245" max="245" width="25.5703125" style="2" customWidth="1"/>
    <col min="246" max="246" width="19.140625" style="2" customWidth="1"/>
    <col min="247" max="247" width="7.28515625" style="2" customWidth="1"/>
    <col min="248" max="248" width="10.85546875" style="2" customWidth="1"/>
    <col min="249" max="249" width="13.5703125" style="2" customWidth="1"/>
    <col min="250" max="250" width="22.85546875" style="2" customWidth="1"/>
    <col min="251" max="251" width="34.7109375" style="2" customWidth="1"/>
    <col min="252" max="252" width="19.7109375" style="2" customWidth="1"/>
    <col min="253" max="16384" width="9.140625" style="2"/>
  </cols>
  <sheetData>
    <row r="1" spans="1:29" s="1" customFormat="1" ht="57" customHeight="1" x14ac:dyDescent="0.3">
      <c r="A1" s="77" t="s">
        <v>1243</v>
      </c>
      <c r="B1" s="135" t="s">
        <v>1245</v>
      </c>
      <c r="C1" s="136"/>
      <c r="D1" s="136"/>
      <c r="E1" s="136"/>
      <c r="F1" s="136"/>
      <c r="G1" s="136"/>
      <c r="H1" s="136"/>
      <c r="I1" s="136"/>
      <c r="J1" s="137"/>
      <c r="K1" s="111"/>
      <c r="L1" s="138" t="s">
        <v>648</v>
      </c>
      <c r="M1" s="138"/>
      <c r="N1" s="138"/>
      <c r="O1" s="2"/>
      <c r="P1" s="134" t="s">
        <v>619</v>
      </c>
      <c r="Q1" s="134"/>
      <c r="S1" s="134" t="s">
        <v>580</v>
      </c>
      <c r="T1" s="134"/>
      <c r="V1" s="133" t="s">
        <v>666</v>
      </c>
      <c r="W1" s="133"/>
      <c r="X1" s="133"/>
      <c r="Y1" s="133"/>
      <c r="Z1" s="133"/>
      <c r="AB1" s="82"/>
      <c r="AC1" s="82"/>
    </row>
    <row r="2" spans="1:29" s="1" customFormat="1" ht="21.75" thickBot="1" x14ac:dyDescent="0.4">
      <c r="A2" s="77" t="s">
        <v>1230</v>
      </c>
      <c r="B2" s="139" t="s">
        <v>578</v>
      </c>
      <c r="C2" s="140"/>
      <c r="D2" s="140"/>
      <c r="E2" s="140"/>
      <c r="F2" s="140"/>
      <c r="G2" s="140"/>
      <c r="H2" s="140"/>
      <c r="I2" s="140"/>
      <c r="J2" s="141"/>
      <c r="K2" s="112"/>
      <c r="L2" s="31" t="s">
        <v>607</v>
      </c>
      <c r="M2" s="31" t="s">
        <v>649</v>
      </c>
      <c r="N2" s="31" t="s">
        <v>650</v>
      </c>
      <c r="O2" s="30"/>
      <c r="P2" s="31" t="s">
        <v>619</v>
      </c>
      <c r="Q2" s="31" t="s">
        <v>660</v>
      </c>
      <c r="S2" s="31" t="s">
        <v>580</v>
      </c>
      <c r="T2" s="31" t="s">
        <v>581</v>
      </c>
      <c r="V2" s="31" t="s">
        <v>667</v>
      </c>
      <c r="W2" s="35" t="s">
        <v>668</v>
      </c>
      <c r="X2" s="36"/>
      <c r="Y2" s="36"/>
      <c r="Z2" s="37"/>
      <c r="AB2"/>
      <c r="AC2"/>
    </row>
    <row r="3" spans="1:29" s="5" customFormat="1" ht="56.25" customHeight="1" x14ac:dyDescent="0.3">
      <c r="A3" s="185" t="s">
        <v>595</v>
      </c>
      <c r="B3" s="41" t="s">
        <v>596</v>
      </c>
      <c r="C3" s="142" t="s">
        <v>1244</v>
      </c>
      <c r="D3" s="143"/>
      <c r="E3" s="144"/>
      <c r="F3" s="3" t="s">
        <v>702</v>
      </c>
      <c r="G3" s="145"/>
      <c r="H3" s="146"/>
      <c r="I3" s="4" t="s">
        <v>577</v>
      </c>
      <c r="J3" s="48" t="s">
        <v>1244</v>
      </c>
      <c r="K3" s="111"/>
      <c r="L3" s="32"/>
      <c r="M3" s="69"/>
      <c r="N3" s="69"/>
      <c r="O3" s="2"/>
      <c r="P3" s="32"/>
      <c r="Q3" s="34"/>
      <c r="S3" s="32"/>
      <c r="T3" s="49"/>
      <c r="V3" s="33"/>
      <c r="W3" s="52"/>
      <c r="X3" s="52"/>
      <c r="Y3" s="52"/>
      <c r="Z3" s="52"/>
      <c r="AB3"/>
      <c r="AC3"/>
    </row>
    <row r="4" spans="1:29" s="5" customFormat="1" ht="34.5" customHeight="1" x14ac:dyDescent="0.3">
      <c r="A4" s="186"/>
      <c r="B4" s="6" t="s">
        <v>579</v>
      </c>
      <c r="C4" s="132"/>
      <c r="D4" s="132"/>
      <c r="E4" s="132"/>
      <c r="F4" s="3" t="s">
        <v>597</v>
      </c>
      <c r="G4" s="145"/>
      <c r="H4" s="146"/>
      <c r="I4" s="147" t="s">
        <v>598</v>
      </c>
      <c r="J4" s="152">
        <v>0</v>
      </c>
      <c r="K4" s="111" t="str">
        <f>IF(VALUE(J4)-SUMIF(C12:J12,"X",C67:J67)&gt;0,"OK","N.OK")</f>
        <v>N.OK</v>
      </c>
      <c r="L4" s="32"/>
      <c r="M4" s="69"/>
      <c r="N4" s="70"/>
      <c r="O4" s="2"/>
      <c r="P4" s="32"/>
      <c r="Q4" s="34"/>
      <c r="S4" s="32"/>
      <c r="T4" s="49"/>
      <c r="V4" s="50"/>
      <c r="W4" s="51"/>
      <c r="X4" s="51"/>
      <c r="Y4" s="51"/>
      <c r="Z4" s="51"/>
    </row>
    <row r="5" spans="1:29" s="5" customFormat="1" ht="33.75" customHeight="1" x14ac:dyDescent="0.3">
      <c r="A5" s="186"/>
      <c r="B5" s="41" t="s">
        <v>600</v>
      </c>
      <c r="C5" s="132"/>
      <c r="D5" s="132"/>
      <c r="E5" s="132"/>
      <c r="F5" s="4" t="s">
        <v>601</v>
      </c>
      <c r="G5" s="166"/>
      <c r="H5" s="167"/>
      <c r="I5" s="147"/>
      <c r="J5" s="152"/>
      <c r="K5" s="111"/>
      <c r="L5" s="32"/>
      <c r="M5" s="70"/>
      <c r="N5" s="70"/>
      <c r="O5" s="2"/>
      <c r="P5" s="32"/>
      <c r="Q5" s="34"/>
    </row>
    <row r="6" spans="1:29" s="5" customFormat="1" ht="25.5" customHeight="1" x14ac:dyDescent="0.3">
      <c r="A6" s="186"/>
      <c r="B6" s="156" t="s">
        <v>602</v>
      </c>
      <c r="C6" s="148"/>
      <c r="D6" s="149"/>
      <c r="E6" s="149"/>
      <c r="F6" s="149"/>
      <c r="G6" s="149"/>
      <c r="H6" s="149"/>
      <c r="I6" s="147"/>
      <c r="J6" s="152"/>
      <c r="K6" s="111"/>
      <c r="L6" s="32"/>
      <c r="M6" s="71"/>
      <c r="N6" s="71"/>
      <c r="O6" s="2"/>
      <c r="P6" s="32"/>
      <c r="Q6" s="34"/>
    </row>
    <row r="7" spans="1:29" s="5" customFormat="1" ht="25.5" customHeight="1" x14ac:dyDescent="0.3">
      <c r="A7" s="186"/>
      <c r="B7" s="156"/>
      <c r="C7" s="149"/>
      <c r="D7" s="149"/>
      <c r="E7" s="149"/>
      <c r="F7" s="149"/>
      <c r="G7" s="149"/>
      <c r="H7" s="149"/>
      <c r="I7" s="147"/>
      <c r="J7" s="152"/>
      <c r="K7" s="111"/>
      <c r="L7" s="32"/>
      <c r="M7" s="73"/>
      <c r="N7" s="70"/>
      <c r="O7" s="2"/>
      <c r="P7" s="32"/>
      <c r="Q7" s="115"/>
    </row>
    <row r="8" spans="1:29" s="5" customFormat="1" ht="25.5" customHeight="1" x14ac:dyDescent="0.35">
      <c r="A8" s="186"/>
      <c r="B8" s="6" t="s">
        <v>603</v>
      </c>
      <c r="C8" s="150"/>
      <c r="D8" s="150"/>
      <c r="E8" s="150"/>
      <c r="F8" s="150"/>
      <c r="G8" s="150"/>
      <c r="H8" s="150"/>
      <c r="I8" s="150"/>
      <c r="J8" s="151"/>
      <c r="K8" s="111"/>
      <c r="L8" s="32"/>
      <c r="M8" s="72"/>
      <c r="N8" s="70"/>
      <c r="O8" s="2"/>
      <c r="P8" s="2"/>
    </row>
    <row r="9" spans="1:29" s="5" customFormat="1" ht="25.5" customHeight="1" x14ac:dyDescent="0.35">
      <c r="A9" s="186"/>
      <c r="B9" s="6" t="s">
        <v>604</v>
      </c>
      <c r="C9" s="150"/>
      <c r="D9" s="150"/>
      <c r="E9" s="150"/>
      <c r="F9" s="150"/>
      <c r="G9" s="150"/>
      <c r="H9" s="150"/>
      <c r="I9" s="150"/>
      <c r="J9" s="151"/>
      <c r="K9" s="111"/>
      <c r="L9" s="32"/>
      <c r="M9" s="72"/>
      <c r="N9" s="70"/>
      <c r="O9" s="30"/>
      <c r="P9" s="30"/>
    </row>
    <row r="10" spans="1:29" s="5" customFormat="1" ht="25.5" customHeight="1" x14ac:dyDescent="0.35">
      <c r="A10" s="186"/>
      <c r="B10" s="41" t="s">
        <v>605</v>
      </c>
      <c r="C10" s="160"/>
      <c r="D10" s="161"/>
      <c r="E10" s="161"/>
      <c r="F10" s="161"/>
      <c r="G10" s="161"/>
      <c r="H10" s="161"/>
      <c r="I10" s="161"/>
      <c r="J10" s="162"/>
      <c r="K10" s="111"/>
      <c r="L10" s="32"/>
      <c r="M10" s="72"/>
      <c r="N10" s="70"/>
      <c r="O10" s="30"/>
      <c r="P10" s="30"/>
    </row>
    <row r="11" spans="1:29" s="5" customFormat="1" ht="25.5" customHeight="1" x14ac:dyDescent="0.3">
      <c r="A11" s="186"/>
      <c r="B11" s="68" t="s">
        <v>606</v>
      </c>
      <c r="C11" s="164"/>
      <c r="D11" s="164"/>
      <c r="E11" s="164"/>
      <c r="F11" s="164"/>
      <c r="G11" s="164"/>
      <c r="H11" s="164"/>
      <c r="I11" s="164"/>
      <c r="J11" s="165"/>
      <c r="K11" s="111"/>
      <c r="L11" s="78"/>
      <c r="M11" s="80"/>
      <c r="N11" s="81"/>
      <c r="O11" s="30"/>
      <c r="P11" s="30"/>
    </row>
    <row r="12" spans="1:29" s="7" customFormat="1" ht="25.5" customHeight="1" x14ac:dyDescent="0.3">
      <c r="A12" s="186"/>
      <c r="B12" s="41" t="s">
        <v>583</v>
      </c>
      <c r="C12" s="116"/>
      <c r="D12" s="116"/>
      <c r="E12" s="116"/>
      <c r="F12" s="117"/>
      <c r="G12" s="117"/>
      <c r="H12" s="117"/>
      <c r="I12" s="117"/>
      <c r="J12" s="117"/>
      <c r="K12" s="111" t="str">
        <f>IF(COUNTIF(C12:J12,"X")&gt;0,"OK","N.OK")</f>
        <v>N.OK</v>
      </c>
      <c r="L12" s="78"/>
      <c r="M12" s="80"/>
      <c r="N12" s="81"/>
      <c r="O12" s="30"/>
      <c r="P12" s="30"/>
    </row>
    <row r="13" spans="1:29" s="5" customFormat="1" ht="25.5" customHeight="1" x14ac:dyDescent="0.3">
      <c r="A13" s="186"/>
      <c r="B13" s="6" t="s">
        <v>608</v>
      </c>
      <c r="C13" s="116"/>
      <c r="D13" s="116"/>
      <c r="E13" s="116"/>
      <c r="F13" s="116"/>
      <c r="G13" s="116"/>
      <c r="H13" s="116"/>
      <c r="I13" s="116"/>
      <c r="J13" s="116"/>
      <c r="K13" s="111"/>
      <c r="L13" s="32"/>
      <c r="M13" s="69"/>
      <c r="N13" s="70"/>
      <c r="O13" s="30"/>
      <c r="P13" s="30"/>
    </row>
    <row r="14" spans="1:29" s="5" customFormat="1" ht="25.5" customHeight="1" x14ac:dyDescent="0.3">
      <c r="A14" s="186"/>
      <c r="B14" s="41" t="s">
        <v>591</v>
      </c>
      <c r="C14" s="67" t="str">
        <f t="shared" ref="C14:G14" si="0">IF(C$13&lt;&gt;"",(VLOOKUP(C$13,$S$3:$T$4,2,FALSE))*100%,"")</f>
        <v/>
      </c>
      <c r="D14" s="67" t="str">
        <f t="shared" si="0"/>
        <v/>
      </c>
      <c r="E14" s="67" t="str">
        <f t="shared" si="0"/>
        <v/>
      </c>
      <c r="F14" s="67" t="str">
        <f t="shared" si="0"/>
        <v/>
      </c>
      <c r="G14" s="67" t="str">
        <f t="shared" si="0"/>
        <v/>
      </c>
      <c r="H14" s="67" t="str">
        <f t="shared" ref="H14:J14" si="1">IF(H$13&lt;&gt;"",(VLOOKUP(H$13,$S$3:$T$4,2,FALSE))*100%,"")</f>
        <v/>
      </c>
      <c r="I14" s="67" t="str">
        <f t="shared" si="1"/>
        <v/>
      </c>
      <c r="J14" s="67" t="str">
        <f t="shared" si="1"/>
        <v/>
      </c>
      <c r="K14" s="111"/>
      <c r="L14" s="32"/>
      <c r="M14" s="71"/>
      <c r="N14" s="71"/>
      <c r="O14" s="30"/>
      <c r="P14" s="30"/>
    </row>
    <row r="15" spans="1:29" s="5" customFormat="1" ht="25.5" customHeight="1" x14ac:dyDescent="0.3">
      <c r="A15" s="186"/>
      <c r="B15" s="6" t="s">
        <v>610</v>
      </c>
      <c r="C15" s="118"/>
      <c r="D15" s="118"/>
      <c r="E15" s="118"/>
      <c r="F15" s="118"/>
      <c r="G15" s="118"/>
      <c r="H15" s="118"/>
      <c r="I15" s="118"/>
      <c r="J15" s="118"/>
      <c r="K15" s="111"/>
      <c r="L15" s="78"/>
      <c r="M15" s="79"/>
      <c r="N15" s="81"/>
      <c r="O15" s="30"/>
      <c r="P15" s="30"/>
    </row>
    <row r="16" spans="1:29" s="5" customFormat="1" ht="25.5" customHeight="1" x14ac:dyDescent="0.3">
      <c r="A16" s="186"/>
      <c r="B16" s="41" t="s">
        <v>612</v>
      </c>
      <c r="C16" s="119"/>
      <c r="D16" s="119"/>
      <c r="E16" s="119"/>
      <c r="F16" s="119"/>
      <c r="G16" s="119"/>
      <c r="H16" s="119"/>
      <c r="I16" s="119"/>
      <c r="J16" s="119"/>
      <c r="K16" s="111"/>
      <c r="L16" s="32"/>
      <c r="M16" s="71"/>
      <c r="N16" s="71"/>
      <c r="O16" s="30"/>
      <c r="P16" s="30"/>
    </row>
    <row r="17" spans="1:230" s="75" customFormat="1" ht="30.75" customHeight="1" x14ac:dyDescent="0.3">
      <c r="A17" s="186"/>
      <c r="B17" s="74" t="s">
        <v>613</v>
      </c>
      <c r="C17" s="120"/>
      <c r="D17" s="120"/>
      <c r="E17" s="120"/>
      <c r="F17" s="120"/>
      <c r="G17" s="120"/>
      <c r="H17" s="120"/>
      <c r="I17" s="120"/>
      <c r="J17" s="120"/>
      <c r="K17" s="113"/>
      <c r="N17" s="76"/>
      <c r="O17" s="76"/>
      <c r="P17" s="76"/>
    </row>
    <row r="18" spans="1:230" s="5" customFormat="1" ht="25.5" customHeight="1" x14ac:dyDescent="0.3">
      <c r="A18" s="186"/>
      <c r="B18" s="6" t="s">
        <v>614</v>
      </c>
      <c r="C18" s="121"/>
      <c r="D18" s="121"/>
      <c r="E18" s="121"/>
      <c r="F18" s="121"/>
      <c r="G18" s="121"/>
      <c r="H18" s="121"/>
      <c r="I18" s="121"/>
      <c r="J18" s="121"/>
      <c r="K18" s="111"/>
      <c r="L18" s="75"/>
      <c r="N18" s="30"/>
      <c r="O18" s="30"/>
      <c r="P18" s="30"/>
    </row>
    <row r="19" spans="1:230" s="5" customFormat="1" ht="25.5" customHeight="1" x14ac:dyDescent="0.3">
      <c r="A19" s="186"/>
      <c r="B19" s="41" t="s">
        <v>615</v>
      </c>
      <c r="C19" s="122"/>
      <c r="D19" s="122"/>
      <c r="E19" s="122"/>
      <c r="F19" s="122"/>
      <c r="G19" s="122"/>
      <c r="H19" s="122"/>
      <c r="I19" s="122"/>
      <c r="J19" s="122"/>
      <c r="K19" s="111"/>
      <c r="N19" s="30"/>
      <c r="O19" s="30"/>
      <c r="P19" s="30"/>
    </row>
    <row r="20" spans="1:230" s="5" customFormat="1" ht="25.5" customHeight="1" x14ac:dyDescent="0.3">
      <c r="A20" s="186"/>
      <c r="B20" s="41" t="s">
        <v>616</v>
      </c>
      <c r="C20" s="123"/>
      <c r="D20" s="124"/>
      <c r="E20" s="124"/>
      <c r="F20" s="124"/>
      <c r="G20" s="124"/>
      <c r="H20" s="124"/>
      <c r="I20" s="124"/>
      <c r="J20" s="124"/>
      <c r="K20" s="111"/>
      <c r="N20" s="30"/>
      <c r="O20" s="30"/>
      <c r="P20" s="30"/>
    </row>
    <row r="21" spans="1:230" s="5" customFormat="1" ht="25.5" customHeight="1" x14ac:dyDescent="0.3">
      <c r="A21" s="186"/>
      <c r="B21" s="41" t="s">
        <v>617</v>
      </c>
      <c r="C21" s="123"/>
      <c r="D21" s="123"/>
      <c r="E21" s="117"/>
      <c r="F21" s="117"/>
      <c r="G21" s="117"/>
      <c r="H21" s="117"/>
      <c r="I21" s="117"/>
      <c r="J21" s="117"/>
      <c r="K21" s="111"/>
      <c r="L21" s="30"/>
      <c r="M21" s="30"/>
      <c r="N21" s="30"/>
      <c r="O21" s="30"/>
      <c r="P21" s="30"/>
    </row>
    <row r="22" spans="1:230" s="8" customFormat="1" ht="25.5" customHeight="1" x14ac:dyDescent="0.3">
      <c r="A22" s="186"/>
      <c r="B22" s="163" t="s">
        <v>618</v>
      </c>
      <c r="C22" s="164"/>
      <c r="D22" s="164"/>
      <c r="E22" s="164"/>
      <c r="F22" s="164"/>
      <c r="G22" s="164"/>
      <c r="H22" s="164"/>
      <c r="I22" s="164"/>
      <c r="J22" s="165"/>
      <c r="K22" s="111"/>
      <c r="N22" s="30"/>
      <c r="O22" s="30"/>
      <c r="P22" s="30"/>
    </row>
    <row r="23" spans="1:230" s="8" customFormat="1" ht="25.5" customHeight="1" x14ac:dyDescent="0.45">
      <c r="A23" s="186"/>
      <c r="B23" s="9" t="s">
        <v>620</v>
      </c>
      <c r="C23" s="158"/>
      <c r="D23" s="159"/>
      <c r="E23" s="158"/>
      <c r="F23" s="159"/>
      <c r="G23" s="157"/>
      <c r="H23" s="157"/>
      <c r="I23" s="157"/>
      <c r="J23" s="157"/>
      <c r="K23" s="111"/>
      <c r="N23" s="30"/>
      <c r="O23" s="30"/>
      <c r="P23" s="30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</row>
    <row r="24" spans="1:230" s="8" customFormat="1" ht="25.5" customHeight="1" x14ac:dyDescent="0.45">
      <c r="A24" s="186"/>
      <c r="B24" s="9" t="s">
        <v>588</v>
      </c>
      <c r="C24" s="158"/>
      <c r="D24" s="159"/>
      <c r="E24" s="158"/>
      <c r="F24" s="159"/>
      <c r="G24" s="157"/>
      <c r="H24" s="157"/>
      <c r="I24" s="157"/>
      <c r="J24" s="157"/>
      <c r="K24" s="111"/>
      <c r="N24" s="30"/>
      <c r="O24" s="30"/>
      <c r="P24" s="30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</row>
    <row r="25" spans="1:230" s="8" customFormat="1" ht="25.5" customHeight="1" x14ac:dyDescent="0.45">
      <c r="A25" s="186"/>
      <c r="B25" s="9" t="s">
        <v>621</v>
      </c>
      <c r="C25" s="158"/>
      <c r="D25" s="159"/>
      <c r="E25" s="158"/>
      <c r="F25" s="159"/>
      <c r="G25" s="157"/>
      <c r="H25" s="157"/>
      <c r="I25" s="157"/>
      <c r="J25" s="157"/>
      <c r="K25" s="111"/>
      <c r="N25" s="30"/>
      <c r="O25" s="30"/>
      <c r="P25" s="30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</row>
    <row r="26" spans="1:230" s="8" customFormat="1" ht="25.5" customHeight="1" x14ac:dyDescent="0.45">
      <c r="A26" s="186"/>
      <c r="B26" s="9" t="s">
        <v>589</v>
      </c>
      <c r="C26" s="158"/>
      <c r="D26" s="159"/>
      <c r="E26" s="158"/>
      <c r="F26" s="159"/>
      <c r="G26" s="157"/>
      <c r="H26" s="157"/>
      <c r="I26" s="157"/>
      <c r="J26" s="157"/>
      <c r="K26" s="111"/>
      <c r="L26" s="30"/>
      <c r="M26" s="30"/>
      <c r="N26" s="30"/>
      <c r="O26" s="30"/>
      <c r="P26" s="30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</row>
    <row r="27" spans="1:230" s="8" customFormat="1" ht="25.5" customHeight="1" x14ac:dyDescent="0.45">
      <c r="A27" s="186"/>
      <c r="B27" s="9" t="s">
        <v>622</v>
      </c>
      <c r="C27" s="158"/>
      <c r="D27" s="159"/>
      <c r="E27" s="158"/>
      <c r="F27" s="159"/>
      <c r="G27" s="157"/>
      <c r="H27" s="157"/>
      <c r="I27" s="157"/>
      <c r="J27" s="157"/>
      <c r="K27" s="111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</row>
    <row r="28" spans="1:230" s="8" customFormat="1" ht="25.5" customHeight="1" x14ac:dyDescent="0.45">
      <c r="A28" s="186"/>
      <c r="B28" s="163" t="s">
        <v>623</v>
      </c>
      <c r="C28" s="164"/>
      <c r="D28" s="164"/>
      <c r="E28" s="164"/>
      <c r="F28" s="164"/>
      <c r="G28" s="164"/>
      <c r="H28" s="164"/>
      <c r="I28" s="164"/>
      <c r="J28" s="165"/>
      <c r="K28" s="111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</row>
    <row r="29" spans="1:230" s="8" customFormat="1" ht="25.5" customHeight="1" x14ac:dyDescent="0.45">
      <c r="A29" s="186"/>
      <c r="B29" s="188"/>
      <c r="C29" s="189"/>
      <c r="D29" s="189"/>
      <c r="E29" s="189"/>
      <c r="F29" s="189"/>
      <c r="G29" s="189"/>
      <c r="H29" s="189"/>
      <c r="I29" s="189"/>
      <c r="J29" s="190"/>
      <c r="K29" s="111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</row>
    <row r="30" spans="1:230" s="8" customFormat="1" ht="25.5" customHeight="1" x14ac:dyDescent="0.45">
      <c r="A30" s="186"/>
      <c r="B30" s="129"/>
      <c r="C30" s="130"/>
      <c r="D30" s="130"/>
      <c r="E30" s="130"/>
      <c r="F30" s="130"/>
      <c r="G30" s="130"/>
      <c r="H30" s="130"/>
      <c r="I30" s="130"/>
      <c r="J30" s="131"/>
      <c r="K30" s="111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</row>
    <row r="31" spans="1:230" s="8" customFormat="1" ht="25.5" customHeight="1" x14ac:dyDescent="0.45">
      <c r="A31" s="186"/>
      <c r="B31" s="129"/>
      <c r="C31" s="130"/>
      <c r="D31" s="130"/>
      <c r="E31" s="130"/>
      <c r="F31" s="130"/>
      <c r="G31" s="130"/>
      <c r="H31" s="130"/>
      <c r="I31" s="130"/>
      <c r="J31" s="131"/>
      <c r="K31" s="111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</row>
    <row r="32" spans="1:230" s="8" customFormat="1" ht="25.5" customHeight="1" thickBot="1" x14ac:dyDescent="0.5">
      <c r="A32" s="187"/>
      <c r="B32" s="126"/>
      <c r="C32" s="127"/>
      <c r="D32" s="127"/>
      <c r="E32" s="127"/>
      <c r="F32" s="127"/>
      <c r="G32" s="127"/>
      <c r="H32" s="127"/>
      <c r="I32" s="127"/>
      <c r="J32" s="128"/>
      <c r="K32" s="111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</row>
    <row r="33" spans="1:11" s="5" customFormat="1" ht="25.5" customHeight="1" x14ac:dyDescent="0.3">
      <c r="A33" s="182" t="s">
        <v>624</v>
      </c>
      <c r="B33" s="41" t="s">
        <v>612</v>
      </c>
      <c r="C33" s="61">
        <f t="shared" ref="C33:J33" si="2">C16</f>
        <v>0</v>
      </c>
      <c r="D33" s="61">
        <f t="shared" si="2"/>
        <v>0</v>
      </c>
      <c r="E33" s="61">
        <f t="shared" si="2"/>
        <v>0</v>
      </c>
      <c r="F33" s="61">
        <f t="shared" si="2"/>
        <v>0</v>
      </c>
      <c r="G33" s="61">
        <f t="shared" si="2"/>
        <v>0</v>
      </c>
      <c r="H33" s="61">
        <f t="shared" si="2"/>
        <v>0</v>
      </c>
      <c r="I33" s="61">
        <f t="shared" si="2"/>
        <v>0</v>
      </c>
      <c r="J33" s="62">
        <f t="shared" si="2"/>
        <v>0</v>
      </c>
      <c r="K33" s="111"/>
    </row>
    <row r="34" spans="1:11" s="5" customFormat="1" ht="25.5" customHeight="1" x14ac:dyDescent="0.3">
      <c r="A34" s="183"/>
      <c r="B34" s="41" t="s">
        <v>625</v>
      </c>
      <c r="C34" s="63" t="str">
        <f>IF(C33=0,"",C20*VLOOKUP(C$18,$P$3:$Q$7,2,FALSE))</f>
        <v/>
      </c>
      <c r="D34" s="63" t="str">
        <f t="shared" ref="D34:I34" si="3">IF(D33=0,"",D20*VLOOKUP(D$18,$P$3:$Q$7,2,FALSE))</f>
        <v/>
      </c>
      <c r="E34" s="63" t="str">
        <f t="shared" si="3"/>
        <v/>
      </c>
      <c r="F34" s="63" t="str">
        <f t="shared" si="3"/>
        <v/>
      </c>
      <c r="G34" s="63" t="str">
        <f t="shared" si="3"/>
        <v/>
      </c>
      <c r="H34" s="63" t="str">
        <f t="shared" si="3"/>
        <v/>
      </c>
      <c r="I34" s="63" t="str">
        <f t="shared" si="3"/>
        <v/>
      </c>
      <c r="J34" s="64" t="str">
        <f t="shared" ref="J34" si="4">IF(J33=0,"",J20*VLOOKUP(J$18,$P$3:$Q$6,2,FALSE))</f>
        <v/>
      </c>
      <c r="K34" s="111"/>
    </row>
    <row r="35" spans="1:11" s="5" customFormat="1" ht="25.5" customHeight="1" x14ac:dyDescent="0.3">
      <c r="A35" s="183"/>
      <c r="B35" s="10" t="s">
        <v>626</v>
      </c>
      <c r="C35" s="108" t="s">
        <v>1241</v>
      </c>
      <c r="D35" s="109" t="s">
        <v>1241</v>
      </c>
      <c r="E35" s="109" t="s">
        <v>1241</v>
      </c>
      <c r="F35" s="109" t="s">
        <v>1241</v>
      </c>
      <c r="G35" s="109" t="s">
        <v>1241</v>
      </c>
      <c r="H35" s="109" t="s">
        <v>1241</v>
      </c>
      <c r="I35" s="109" t="s">
        <v>1241</v>
      </c>
      <c r="J35" s="109" t="s">
        <v>1241</v>
      </c>
      <c r="K35" s="111"/>
    </row>
    <row r="36" spans="1:11" s="5" customFormat="1" ht="25.5" customHeight="1" x14ac:dyDescent="0.3">
      <c r="A36" s="183"/>
      <c r="B36" s="11" t="s">
        <v>584</v>
      </c>
      <c r="C36" s="108" t="s">
        <v>1241</v>
      </c>
      <c r="D36" s="108" t="s">
        <v>1241</v>
      </c>
      <c r="E36" s="109" t="s">
        <v>1241</v>
      </c>
      <c r="F36" s="109" t="s">
        <v>1241</v>
      </c>
      <c r="G36" s="109" t="s">
        <v>1241</v>
      </c>
      <c r="H36" s="109" t="s">
        <v>1241</v>
      </c>
      <c r="I36" s="109" t="s">
        <v>1241</v>
      </c>
      <c r="J36" s="109" t="s">
        <v>1241</v>
      </c>
      <c r="K36" s="111"/>
    </row>
    <row r="37" spans="1:11" s="5" customFormat="1" ht="25.5" customHeight="1" x14ac:dyDescent="0.3">
      <c r="A37" s="183"/>
      <c r="B37" s="11" t="s">
        <v>585</v>
      </c>
      <c r="C37" s="109" t="s">
        <v>1241</v>
      </c>
      <c r="D37" s="109" t="s">
        <v>1241</v>
      </c>
      <c r="E37" s="109" t="s">
        <v>1241</v>
      </c>
      <c r="F37" s="109" t="s">
        <v>1241</v>
      </c>
      <c r="G37" s="109" t="s">
        <v>1241</v>
      </c>
      <c r="H37" s="109" t="s">
        <v>1241</v>
      </c>
      <c r="I37" s="109" t="s">
        <v>1241</v>
      </c>
      <c r="J37" s="109" t="s">
        <v>1241</v>
      </c>
      <c r="K37" s="111"/>
    </row>
    <row r="38" spans="1:11" s="5" customFormat="1" ht="25.5" customHeight="1" x14ac:dyDescent="0.3">
      <c r="A38" s="183"/>
      <c r="B38" s="11" t="s">
        <v>586</v>
      </c>
      <c r="C38" s="109" t="s">
        <v>1241</v>
      </c>
      <c r="D38" s="109" t="s">
        <v>1241</v>
      </c>
      <c r="E38" s="109" t="s">
        <v>1241</v>
      </c>
      <c r="F38" s="109" t="s">
        <v>1241</v>
      </c>
      <c r="G38" s="109" t="s">
        <v>1241</v>
      </c>
      <c r="H38" s="109" t="s">
        <v>1241</v>
      </c>
      <c r="I38" s="109" t="s">
        <v>1241</v>
      </c>
      <c r="J38" s="109" t="s">
        <v>1241</v>
      </c>
      <c r="K38" s="111"/>
    </row>
    <row r="39" spans="1:11" s="5" customFormat="1" ht="25.5" customHeight="1" x14ac:dyDescent="0.3">
      <c r="A39" s="183"/>
      <c r="B39" s="11" t="s">
        <v>587</v>
      </c>
      <c r="C39" s="109" t="s">
        <v>1241</v>
      </c>
      <c r="D39" s="109" t="s">
        <v>1241</v>
      </c>
      <c r="E39" s="109" t="s">
        <v>1241</v>
      </c>
      <c r="F39" s="109" t="s">
        <v>1241</v>
      </c>
      <c r="G39" s="109" t="s">
        <v>1241</v>
      </c>
      <c r="H39" s="109" t="s">
        <v>1241</v>
      </c>
      <c r="I39" s="109" t="s">
        <v>1241</v>
      </c>
      <c r="J39" s="109" t="s">
        <v>1241</v>
      </c>
      <c r="K39" s="111"/>
    </row>
    <row r="40" spans="1:11" s="5" customFormat="1" ht="25.5" customHeight="1" x14ac:dyDescent="0.3">
      <c r="A40" s="183"/>
      <c r="B40" s="11" t="s">
        <v>627</v>
      </c>
      <c r="C40" s="109" t="s">
        <v>1241</v>
      </c>
      <c r="D40" s="109" t="s">
        <v>1241</v>
      </c>
      <c r="E40" s="109" t="s">
        <v>1241</v>
      </c>
      <c r="F40" s="109" t="s">
        <v>1241</v>
      </c>
      <c r="G40" s="109" t="s">
        <v>1241</v>
      </c>
      <c r="H40" s="109" t="s">
        <v>1241</v>
      </c>
      <c r="I40" s="109" t="s">
        <v>1241</v>
      </c>
      <c r="J40" s="109" t="s">
        <v>1241</v>
      </c>
      <c r="K40" s="111"/>
    </row>
    <row r="41" spans="1:11" s="5" customFormat="1" ht="25.5" customHeight="1" x14ac:dyDescent="0.3">
      <c r="A41" s="183"/>
      <c r="B41" s="11" t="s">
        <v>1220</v>
      </c>
      <c r="C41" s="109" t="s">
        <v>1241</v>
      </c>
      <c r="D41" s="109" t="s">
        <v>1241</v>
      </c>
      <c r="E41" s="109" t="s">
        <v>1241</v>
      </c>
      <c r="F41" s="109" t="s">
        <v>1241</v>
      </c>
      <c r="G41" s="109" t="s">
        <v>1241</v>
      </c>
      <c r="H41" s="109" t="s">
        <v>1241</v>
      </c>
      <c r="I41" s="109" t="s">
        <v>1241</v>
      </c>
      <c r="J41" s="109" t="s">
        <v>1241</v>
      </c>
      <c r="K41" s="111"/>
    </row>
    <row r="42" spans="1:11" s="5" customFormat="1" ht="25.5" customHeight="1" x14ac:dyDescent="0.3">
      <c r="A42" s="183"/>
      <c r="B42" s="11" t="s">
        <v>1221</v>
      </c>
      <c r="C42" s="109" t="s">
        <v>1241</v>
      </c>
      <c r="D42" s="109" t="s">
        <v>1241</v>
      </c>
      <c r="E42" s="109" t="s">
        <v>1241</v>
      </c>
      <c r="F42" s="109" t="s">
        <v>1241</v>
      </c>
      <c r="G42" s="109" t="s">
        <v>1241</v>
      </c>
      <c r="H42" s="109" t="s">
        <v>1241</v>
      </c>
      <c r="I42" s="109" t="s">
        <v>1241</v>
      </c>
      <c r="J42" s="109" t="s">
        <v>1241</v>
      </c>
      <c r="K42" s="111"/>
    </row>
    <row r="43" spans="1:11" s="5" customFormat="1" ht="25.5" customHeight="1" x14ac:dyDescent="0.3">
      <c r="A43" s="183"/>
      <c r="B43" s="11" t="s">
        <v>1219</v>
      </c>
      <c r="C43" s="109" t="s">
        <v>1241</v>
      </c>
      <c r="D43" s="109" t="s">
        <v>1241</v>
      </c>
      <c r="E43" s="109" t="s">
        <v>1241</v>
      </c>
      <c r="F43" s="109" t="s">
        <v>1241</v>
      </c>
      <c r="G43" s="109" t="s">
        <v>1241</v>
      </c>
      <c r="H43" s="109" t="s">
        <v>1241</v>
      </c>
      <c r="I43" s="109" t="s">
        <v>1241</v>
      </c>
      <c r="J43" s="109" t="s">
        <v>1241</v>
      </c>
      <c r="K43" s="111"/>
    </row>
    <row r="44" spans="1:11" s="5" customFormat="1" ht="25.5" customHeight="1" x14ac:dyDescent="0.3">
      <c r="A44" s="183"/>
      <c r="B44" s="11" t="s">
        <v>629</v>
      </c>
      <c r="C44" s="109" t="s">
        <v>1241</v>
      </c>
      <c r="D44" s="109" t="s">
        <v>1241</v>
      </c>
      <c r="E44" s="109" t="s">
        <v>1241</v>
      </c>
      <c r="F44" s="109" t="s">
        <v>1241</v>
      </c>
      <c r="G44" s="109" t="s">
        <v>1241</v>
      </c>
      <c r="H44" s="109" t="s">
        <v>1241</v>
      </c>
      <c r="I44" s="109" t="s">
        <v>1241</v>
      </c>
      <c r="J44" s="109" t="s">
        <v>1241</v>
      </c>
      <c r="K44" s="111"/>
    </row>
    <row r="45" spans="1:11" s="5" customFormat="1" ht="25.5" customHeight="1" x14ac:dyDescent="0.3">
      <c r="A45" s="183"/>
      <c r="B45" s="11" t="s">
        <v>630</v>
      </c>
      <c r="C45" s="109" t="s">
        <v>1241</v>
      </c>
      <c r="D45" s="109" t="s">
        <v>1241</v>
      </c>
      <c r="E45" s="109" t="s">
        <v>1241</v>
      </c>
      <c r="F45" s="109" t="s">
        <v>1241</v>
      </c>
      <c r="G45" s="109" t="s">
        <v>1241</v>
      </c>
      <c r="H45" s="109" t="s">
        <v>1241</v>
      </c>
      <c r="I45" s="109" t="s">
        <v>1241</v>
      </c>
      <c r="J45" s="109" t="s">
        <v>1241</v>
      </c>
      <c r="K45" s="111"/>
    </row>
    <row r="46" spans="1:11" s="5" customFormat="1" ht="25.5" customHeight="1" x14ac:dyDescent="0.3">
      <c r="A46" s="183"/>
      <c r="B46" s="11" t="s">
        <v>631</v>
      </c>
      <c r="C46" s="109" t="s">
        <v>1241</v>
      </c>
      <c r="D46" s="109" t="s">
        <v>1241</v>
      </c>
      <c r="E46" s="109" t="s">
        <v>1241</v>
      </c>
      <c r="F46" s="109" t="s">
        <v>1241</v>
      </c>
      <c r="G46" s="109" t="s">
        <v>1241</v>
      </c>
      <c r="H46" s="109" t="s">
        <v>1241</v>
      </c>
      <c r="I46" s="109" t="s">
        <v>1241</v>
      </c>
      <c r="J46" s="109" t="s">
        <v>1241</v>
      </c>
      <c r="K46" s="111"/>
    </row>
    <row r="47" spans="1:11" s="5" customFormat="1" ht="25.5" customHeight="1" x14ac:dyDescent="0.3">
      <c r="A47" s="183"/>
      <c r="B47" s="11" t="s">
        <v>628</v>
      </c>
      <c r="C47" s="109" t="s">
        <v>1241</v>
      </c>
      <c r="D47" s="109" t="s">
        <v>1241</v>
      </c>
      <c r="E47" s="109" t="s">
        <v>1241</v>
      </c>
      <c r="F47" s="109" t="s">
        <v>1241</v>
      </c>
      <c r="G47" s="109" t="s">
        <v>1241</v>
      </c>
      <c r="H47" s="109" t="s">
        <v>1241</v>
      </c>
      <c r="I47" s="109" t="s">
        <v>1241</v>
      </c>
      <c r="J47" s="109" t="s">
        <v>1241</v>
      </c>
      <c r="K47" s="111"/>
    </row>
    <row r="48" spans="1:11" s="5" customFormat="1" ht="25.5" customHeight="1" x14ac:dyDescent="0.3">
      <c r="A48" s="183"/>
      <c r="B48" s="11" t="s">
        <v>632</v>
      </c>
      <c r="C48" s="109" t="s">
        <v>1241</v>
      </c>
      <c r="D48" s="109" t="s">
        <v>1241</v>
      </c>
      <c r="E48" s="109" t="s">
        <v>1241</v>
      </c>
      <c r="F48" s="109" t="s">
        <v>1241</v>
      </c>
      <c r="G48" s="109" t="s">
        <v>1241</v>
      </c>
      <c r="H48" s="109" t="s">
        <v>1241</v>
      </c>
      <c r="I48" s="109" t="s">
        <v>1241</v>
      </c>
      <c r="J48" s="109" t="s">
        <v>1241</v>
      </c>
      <c r="K48" s="111"/>
    </row>
    <row r="49" spans="1:16" s="5" customFormat="1" ht="25.5" customHeight="1" x14ac:dyDescent="0.3">
      <c r="A49" s="183"/>
      <c r="B49" s="11" t="s">
        <v>633</v>
      </c>
      <c r="C49" s="109" t="s">
        <v>1241</v>
      </c>
      <c r="D49" s="109" t="s">
        <v>1241</v>
      </c>
      <c r="E49" s="109" t="s">
        <v>1241</v>
      </c>
      <c r="F49" s="109" t="s">
        <v>1241</v>
      </c>
      <c r="G49" s="109" t="s">
        <v>1241</v>
      </c>
      <c r="H49" s="109" t="s">
        <v>1241</v>
      </c>
      <c r="I49" s="109" t="s">
        <v>1241</v>
      </c>
      <c r="J49" s="109" t="s">
        <v>1241</v>
      </c>
      <c r="K49" s="111"/>
    </row>
    <row r="50" spans="1:16" s="5" customFormat="1" ht="25.5" customHeight="1" x14ac:dyDescent="0.3">
      <c r="A50" s="183"/>
      <c r="B50" s="11" t="s">
        <v>634</v>
      </c>
      <c r="C50" s="109" t="s">
        <v>1241</v>
      </c>
      <c r="D50" s="109" t="s">
        <v>1241</v>
      </c>
      <c r="E50" s="109" t="s">
        <v>1241</v>
      </c>
      <c r="F50" s="109" t="s">
        <v>1241</v>
      </c>
      <c r="G50" s="109" t="s">
        <v>1241</v>
      </c>
      <c r="H50" s="109" t="s">
        <v>1241</v>
      </c>
      <c r="I50" s="109" t="s">
        <v>1241</v>
      </c>
      <c r="J50" s="109" t="s">
        <v>1241</v>
      </c>
      <c r="K50" s="111"/>
    </row>
    <row r="51" spans="1:16" s="5" customFormat="1" ht="25.5" customHeight="1" x14ac:dyDescent="0.3">
      <c r="A51" s="183"/>
      <c r="B51" s="11" t="s">
        <v>636</v>
      </c>
      <c r="C51" s="109" t="s">
        <v>1241</v>
      </c>
      <c r="D51" s="109" t="s">
        <v>1241</v>
      </c>
      <c r="E51" s="109" t="s">
        <v>1241</v>
      </c>
      <c r="F51" s="109" t="s">
        <v>1241</v>
      </c>
      <c r="G51" s="109" t="s">
        <v>1241</v>
      </c>
      <c r="H51" s="109" t="s">
        <v>1241</v>
      </c>
      <c r="I51" s="109" t="s">
        <v>1241</v>
      </c>
      <c r="J51" s="109" t="s">
        <v>1241</v>
      </c>
      <c r="K51" s="111"/>
    </row>
    <row r="52" spans="1:16" s="5" customFormat="1" ht="25.5" customHeight="1" x14ac:dyDescent="0.3">
      <c r="A52" s="183"/>
      <c r="B52" s="11" t="s">
        <v>637</v>
      </c>
      <c r="C52" s="109" t="s">
        <v>1241</v>
      </c>
      <c r="D52" s="109" t="s">
        <v>1241</v>
      </c>
      <c r="E52" s="109" t="s">
        <v>1241</v>
      </c>
      <c r="F52" s="109" t="s">
        <v>1241</v>
      </c>
      <c r="G52" s="109" t="s">
        <v>1241</v>
      </c>
      <c r="H52" s="109" t="s">
        <v>1241</v>
      </c>
      <c r="I52" s="109" t="s">
        <v>1241</v>
      </c>
      <c r="J52" s="109" t="s">
        <v>1241</v>
      </c>
      <c r="K52" s="111"/>
    </row>
    <row r="53" spans="1:16" s="5" customFormat="1" ht="25.5" customHeight="1" x14ac:dyDescent="0.3">
      <c r="A53" s="183"/>
      <c r="B53" s="11" t="s">
        <v>638</v>
      </c>
      <c r="C53" s="109" t="s">
        <v>1241</v>
      </c>
      <c r="D53" s="109" t="s">
        <v>1241</v>
      </c>
      <c r="E53" s="109" t="s">
        <v>1241</v>
      </c>
      <c r="F53" s="109" t="s">
        <v>1241</v>
      </c>
      <c r="G53" s="109" t="s">
        <v>1241</v>
      </c>
      <c r="H53" s="109" t="s">
        <v>1241</v>
      </c>
      <c r="I53" s="109" t="s">
        <v>1241</v>
      </c>
      <c r="J53" s="109" t="s">
        <v>1241</v>
      </c>
      <c r="K53" s="111"/>
    </row>
    <row r="54" spans="1:16" s="5" customFormat="1" ht="25.5" customHeight="1" x14ac:dyDescent="0.3">
      <c r="A54" s="183"/>
      <c r="B54" s="11" t="s">
        <v>639</v>
      </c>
      <c r="C54" s="109" t="s">
        <v>1241</v>
      </c>
      <c r="D54" s="109" t="s">
        <v>1241</v>
      </c>
      <c r="E54" s="109" t="s">
        <v>1241</v>
      </c>
      <c r="F54" s="109" t="s">
        <v>1241</v>
      </c>
      <c r="G54" s="109" t="s">
        <v>1241</v>
      </c>
      <c r="H54" s="109" t="s">
        <v>1241</v>
      </c>
      <c r="I54" s="109" t="s">
        <v>1241</v>
      </c>
      <c r="J54" s="109" t="s">
        <v>1241</v>
      </c>
      <c r="K54" s="111"/>
    </row>
    <row r="55" spans="1:16" s="5" customFormat="1" ht="25.5" customHeight="1" thickBot="1" x14ac:dyDescent="0.35">
      <c r="A55" s="184"/>
      <c r="B55" s="11" t="s">
        <v>590</v>
      </c>
      <c r="C55" s="109" t="s">
        <v>1241</v>
      </c>
      <c r="D55" s="109" t="s">
        <v>1241</v>
      </c>
      <c r="E55" s="109" t="s">
        <v>1241</v>
      </c>
      <c r="F55" s="109" t="s">
        <v>1241</v>
      </c>
      <c r="G55" s="109" t="s">
        <v>1241</v>
      </c>
      <c r="H55" s="109" t="s">
        <v>1241</v>
      </c>
      <c r="I55" s="109" t="s">
        <v>1241</v>
      </c>
      <c r="J55" s="109" t="s">
        <v>1241</v>
      </c>
      <c r="K55" s="111"/>
    </row>
    <row r="56" spans="1:16" s="5" customFormat="1" ht="25.5" customHeight="1" x14ac:dyDescent="0.3">
      <c r="A56" s="153" t="s">
        <v>640</v>
      </c>
      <c r="B56" s="168"/>
      <c r="C56" s="169"/>
      <c r="D56" s="169"/>
      <c r="E56" s="169"/>
      <c r="F56" s="169"/>
      <c r="G56" s="169"/>
      <c r="H56" s="169"/>
      <c r="I56" s="169"/>
      <c r="J56" s="170"/>
      <c r="K56" s="111"/>
    </row>
    <row r="57" spans="1:16" s="8" customFormat="1" ht="25.5" customHeight="1" x14ac:dyDescent="0.3">
      <c r="A57" s="154"/>
      <c r="B57" s="171"/>
      <c r="C57" s="172"/>
      <c r="D57" s="172"/>
      <c r="E57" s="172"/>
      <c r="F57" s="172"/>
      <c r="G57" s="172"/>
      <c r="H57" s="172"/>
      <c r="I57" s="172"/>
      <c r="J57" s="173"/>
      <c r="K57" s="111"/>
    </row>
    <row r="58" spans="1:16" s="8" customFormat="1" ht="25.5" customHeight="1" x14ac:dyDescent="0.3">
      <c r="A58" s="154"/>
      <c r="B58" s="174" t="s">
        <v>592</v>
      </c>
      <c r="C58" s="175"/>
      <c r="D58" s="175"/>
      <c r="E58" s="175"/>
      <c r="F58" s="175"/>
      <c r="G58" s="175"/>
      <c r="H58" s="175"/>
      <c r="I58" s="175"/>
      <c r="J58" s="176"/>
      <c r="K58" s="111"/>
    </row>
    <row r="59" spans="1:16" s="8" customFormat="1" ht="25.5" customHeight="1" x14ac:dyDescent="0.35">
      <c r="A59" s="154"/>
      <c r="B59" s="12" t="str">
        <f t="shared" ref="B59:J59" si="5">B33</f>
        <v>TIRAGEM:</v>
      </c>
      <c r="C59" s="59">
        <f t="shared" si="5"/>
        <v>0</v>
      </c>
      <c r="D59" s="59">
        <f t="shared" si="5"/>
        <v>0</v>
      </c>
      <c r="E59" s="59">
        <f t="shared" si="5"/>
        <v>0</v>
      </c>
      <c r="F59" s="59">
        <f t="shared" si="5"/>
        <v>0</v>
      </c>
      <c r="G59" s="59">
        <f t="shared" si="5"/>
        <v>0</v>
      </c>
      <c r="H59" s="59">
        <f t="shared" si="5"/>
        <v>0</v>
      </c>
      <c r="I59" s="59">
        <f t="shared" si="5"/>
        <v>0</v>
      </c>
      <c r="J59" s="60">
        <f t="shared" si="5"/>
        <v>0</v>
      </c>
      <c r="K59" s="111"/>
    </row>
    <row r="60" spans="1:16" s="8" customFormat="1" ht="25.5" customHeight="1" x14ac:dyDescent="0.35">
      <c r="A60" s="154"/>
      <c r="B60" s="13" t="s">
        <v>641</v>
      </c>
      <c r="C60" s="114"/>
      <c r="D60" s="114"/>
      <c r="E60" s="114"/>
      <c r="F60" s="114"/>
      <c r="G60" s="114"/>
      <c r="H60" s="114"/>
      <c r="I60" s="114"/>
      <c r="J60" s="125"/>
      <c r="K60" s="111"/>
      <c r="L60" s="40"/>
      <c r="M60" s="40"/>
      <c r="N60" s="40"/>
      <c r="O60" s="40"/>
      <c r="P60" s="40"/>
    </row>
    <row r="61" spans="1:16" s="8" customFormat="1" ht="25.5" customHeight="1" x14ac:dyDescent="0.35">
      <c r="A61" s="154"/>
      <c r="B61" s="13" t="s">
        <v>1242</v>
      </c>
      <c r="C61" s="114"/>
      <c r="D61" s="114"/>
      <c r="E61" s="114"/>
      <c r="F61" s="114"/>
      <c r="G61" s="114"/>
      <c r="H61" s="114"/>
      <c r="I61" s="114"/>
      <c r="J61" s="114"/>
      <c r="K61" s="111"/>
    </row>
    <row r="62" spans="1:16" s="8" customFormat="1" ht="25.5" customHeight="1" x14ac:dyDescent="0.35">
      <c r="A62" s="154"/>
      <c r="B62" s="13" t="s">
        <v>632</v>
      </c>
      <c r="C62" s="114"/>
      <c r="D62" s="114"/>
      <c r="E62" s="114"/>
      <c r="F62" s="114"/>
      <c r="G62" s="114"/>
      <c r="H62" s="114"/>
      <c r="I62" s="114"/>
      <c r="J62" s="114"/>
      <c r="K62" s="111"/>
    </row>
    <row r="63" spans="1:16" s="8" customFormat="1" ht="25.5" customHeight="1" x14ac:dyDescent="0.35">
      <c r="A63" s="154"/>
      <c r="B63" s="177"/>
      <c r="C63" s="178"/>
      <c r="D63" s="178"/>
      <c r="E63" s="178"/>
      <c r="F63" s="178"/>
      <c r="G63" s="178"/>
      <c r="H63" s="178"/>
      <c r="I63" s="178"/>
      <c r="J63" s="179"/>
      <c r="K63" s="111"/>
    </row>
    <row r="64" spans="1:16" s="8" customFormat="1" ht="25.5" customHeight="1" x14ac:dyDescent="0.35">
      <c r="A64" s="154"/>
      <c r="B64" s="13" t="s">
        <v>635</v>
      </c>
      <c r="C64" s="53" t="str">
        <f>IF(C59=0,"",((((SUM(C34:C55))/(1-VLOOKUP($G$5,$L$3:$M$25,2,FALSE)))/(1-C$19))+(1-VLOOKUP($G$5,$L$3:$M$25,2,FALSE))+C60+C61+C62)/(1-C$14))</f>
        <v/>
      </c>
      <c r="D64" s="53" t="str">
        <f t="shared" ref="D64:K64" si="6">IF(D59=0,"",((((SUM(D34:D55))/(1-VLOOKUP($G$5,$L$3:$M$25,2,FALSE)))/(1-D$19))+(1-VLOOKUP($G$5,$L$3:$M$25,2,FALSE))+D60+D61+D62)/(1-D$14))</f>
        <v/>
      </c>
      <c r="E64" s="53" t="str">
        <f t="shared" si="6"/>
        <v/>
      </c>
      <c r="F64" s="53" t="str">
        <f t="shared" si="6"/>
        <v/>
      </c>
      <c r="G64" s="53" t="str">
        <f t="shared" si="6"/>
        <v/>
      </c>
      <c r="H64" s="53" t="str">
        <f t="shared" si="6"/>
        <v/>
      </c>
      <c r="I64" s="53" t="str">
        <f t="shared" si="6"/>
        <v/>
      </c>
      <c r="J64" s="53" t="str">
        <f t="shared" si="6"/>
        <v/>
      </c>
      <c r="K64" s="53" t="str">
        <f t="shared" si="6"/>
        <v/>
      </c>
      <c r="L64" s="53"/>
    </row>
    <row r="65" spans="1:11" s="8" customFormat="1" ht="25.5" customHeight="1" x14ac:dyDescent="0.35">
      <c r="A65" s="154"/>
      <c r="B65" s="14" t="s">
        <v>642</v>
      </c>
      <c r="C65" s="53" t="str">
        <f t="shared" ref="C65:J65" si="7">IF(C59=0,"",(C64/C59))</f>
        <v/>
      </c>
      <c r="D65" s="53" t="str">
        <f t="shared" si="7"/>
        <v/>
      </c>
      <c r="E65" s="53" t="str">
        <f t="shared" si="7"/>
        <v/>
      </c>
      <c r="F65" s="53" t="str">
        <f t="shared" si="7"/>
        <v/>
      </c>
      <c r="G65" s="53" t="str">
        <f t="shared" si="7"/>
        <v/>
      </c>
      <c r="H65" s="53" t="str">
        <f t="shared" si="7"/>
        <v/>
      </c>
      <c r="I65" s="53" t="str">
        <f t="shared" si="7"/>
        <v/>
      </c>
      <c r="J65" s="54" t="str">
        <f t="shared" si="7"/>
        <v/>
      </c>
      <c r="K65" s="111"/>
    </row>
    <row r="66" spans="1:11" s="8" customFormat="1" ht="25.5" customHeight="1" x14ac:dyDescent="0.35">
      <c r="A66" s="154"/>
      <c r="B66" s="15"/>
      <c r="C66" s="180"/>
      <c r="D66" s="180"/>
      <c r="E66" s="180"/>
      <c r="F66" s="180"/>
      <c r="G66" s="180"/>
      <c r="H66" s="180"/>
      <c r="I66" s="180"/>
      <c r="J66" s="181"/>
      <c r="K66" s="111"/>
    </row>
    <row r="67" spans="1:11" s="5" customFormat="1" ht="25.5" customHeight="1" x14ac:dyDescent="0.35">
      <c r="A67" s="154"/>
      <c r="B67" s="13" t="s">
        <v>643</v>
      </c>
      <c r="C67" s="53" t="str">
        <f>(IF(C59=0,"",((((SUM(C34:C55))/(1-VLOOKUP($G$5,$L$3:$N$25,3,FALSE)))/(1-C$19))+(1-VLOOKUP($G$5,$L$3:$N$25,3,FALSE))+C60+C61+C62)/(1-C$14)))</f>
        <v/>
      </c>
      <c r="D67" s="53" t="str">
        <f t="shared" ref="D67:J67" si="8">(IF(D59=0,"",((((SUM(D34:D55))/(1-VLOOKUP($G$5,$L$3:$N$25,3,FALSE)))/(1-D$19))+(1-VLOOKUP($G$5,$L$3:$N$25,3,FALSE))+D60+D61+D62)/(1-D$14)))</f>
        <v/>
      </c>
      <c r="E67" s="53" t="str">
        <f t="shared" si="8"/>
        <v/>
      </c>
      <c r="F67" s="53" t="str">
        <f t="shared" si="8"/>
        <v/>
      </c>
      <c r="G67" s="53" t="str">
        <f t="shared" si="8"/>
        <v/>
      </c>
      <c r="H67" s="53" t="str">
        <f t="shared" si="8"/>
        <v/>
      </c>
      <c r="I67" s="53" t="str">
        <f t="shared" si="8"/>
        <v/>
      </c>
      <c r="J67" s="53" t="str">
        <f t="shared" si="8"/>
        <v/>
      </c>
      <c r="K67" s="111" t="str">
        <f>IF(VALUE(J4)-SUMIF(C12:J12,"X",C67:J67)&gt;0,"OK","N.OK")</f>
        <v>N.OK</v>
      </c>
    </row>
    <row r="68" spans="1:11" s="5" customFormat="1" ht="25.5" customHeight="1" thickBot="1" x14ac:dyDescent="0.4">
      <c r="A68" s="154"/>
      <c r="B68" s="16" t="s">
        <v>642</v>
      </c>
      <c r="C68" s="55" t="str">
        <f t="shared" ref="C68:J68" si="9">IF(C59=0,"",C67/C59)</f>
        <v/>
      </c>
      <c r="D68" s="55" t="str">
        <f t="shared" si="9"/>
        <v/>
      </c>
      <c r="E68" s="55" t="str">
        <f t="shared" si="9"/>
        <v/>
      </c>
      <c r="F68" s="55" t="str">
        <f t="shared" si="9"/>
        <v/>
      </c>
      <c r="G68" s="55" t="str">
        <f t="shared" si="9"/>
        <v/>
      </c>
      <c r="H68" s="55" t="str">
        <f t="shared" si="9"/>
        <v/>
      </c>
      <c r="I68" s="55" t="str">
        <f t="shared" si="9"/>
        <v/>
      </c>
      <c r="J68" s="56" t="str">
        <f t="shared" si="9"/>
        <v/>
      </c>
      <c r="K68" s="111"/>
    </row>
    <row r="69" spans="1:11" s="5" customFormat="1" ht="25.5" customHeight="1" x14ac:dyDescent="0.35">
      <c r="A69" s="154"/>
      <c r="B69" s="17" t="s">
        <v>644</v>
      </c>
      <c r="C69" s="57" t="str">
        <f t="shared" ref="C69:J69" si="10">IF(C60&lt;&gt;0,((((((((SUM(C34:C55))/(1-VLOOKUP($G$5,$L$3:$M$13,2,FALSE)))/(C64))-1+C$19)*100)))*-1),"")</f>
        <v/>
      </c>
      <c r="D69" s="57" t="str">
        <f t="shared" si="10"/>
        <v/>
      </c>
      <c r="E69" s="57" t="str">
        <f t="shared" si="10"/>
        <v/>
      </c>
      <c r="F69" s="57" t="str">
        <f t="shared" si="10"/>
        <v/>
      </c>
      <c r="G69" s="57" t="str">
        <f t="shared" si="10"/>
        <v/>
      </c>
      <c r="H69" s="57" t="str">
        <f t="shared" si="10"/>
        <v/>
      </c>
      <c r="I69" s="57" t="str">
        <f t="shared" si="10"/>
        <v/>
      </c>
      <c r="J69" s="57" t="str">
        <f t="shared" si="10"/>
        <v/>
      </c>
      <c r="K69" s="111"/>
    </row>
    <row r="70" spans="1:11" s="5" customFormat="1" ht="25.5" customHeight="1" thickBot="1" x14ac:dyDescent="0.4">
      <c r="A70" s="155"/>
      <c r="B70" s="18" t="s">
        <v>645</v>
      </c>
      <c r="C70" s="58" t="str">
        <f t="shared" ref="C70:J70" si="11">IF(C60&lt;&gt;0,((((((((SUM(C34:C55))/(1-VLOOKUP($G$5,$L$3:$N$13,3,FALSE)))/(C67))-1+C$19)*100)))*-1),"")</f>
        <v/>
      </c>
      <c r="D70" s="58" t="str">
        <f t="shared" si="11"/>
        <v/>
      </c>
      <c r="E70" s="58" t="str">
        <f t="shared" si="11"/>
        <v/>
      </c>
      <c r="F70" s="58" t="str">
        <f t="shared" si="11"/>
        <v/>
      </c>
      <c r="G70" s="58" t="str">
        <f t="shared" si="11"/>
        <v/>
      </c>
      <c r="H70" s="58" t="str">
        <f t="shared" si="11"/>
        <v/>
      </c>
      <c r="I70" s="58" t="str">
        <f t="shared" si="11"/>
        <v/>
      </c>
      <c r="J70" s="58" t="str">
        <f t="shared" si="11"/>
        <v/>
      </c>
      <c r="K70" s="111"/>
    </row>
    <row r="71" spans="1:11" x14ac:dyDescent="0.3">
      <c r="B71" s="19"/>
      <c r="C71" s="20"/>
      <c r="D71" s="20"/>
      <c r="E71" s="21"/>
      <c r="F71" s="21"/>
      <c r="G71" s="21"/>
      <c r="H71" s="21"/>
      <c r="I71" s="21"/>
      <c r="J71" s="21"/>
    </row>
    <row r="72" spans="1:11" x14ac:dyDescent="0.3">
      <c r="B72" s="23" t="s">
        <v>646</v>
      </c>
      <c r="C72" s="24"/>
      <c r="D72" s="24"/>
      <c r="E72" s="25"/>
      <c r="F72" s="26"/>
      <c r="G72" s="25"/>
      <c r="H72" s="27"/>
      <c r="I72" s="25"/>
      <c r="J72" s="25"/>
    </row>
    <row r="73" spans="1:11" x14ac:dyDescent="0.3">
      <c r="B73" s="28" t="s">
        <v>647</v>
      </c>
      <c r="C73" s="24"/>
      <c r="D73" s="24"/>
      <c r="E73" s="25"/>
      <c r="F73" s="25"/>
      <c r="G73" s="25"/>
      <c r="H73" s="25"/>
      <c r="I73" s="25"/>
      <c r="J73" s="25"/>
    </row>
    <row r="74" spans="1:11" x14ac:dyDescent="0.3">
      <c r="B74" s="110"/>
      <c r="C74" s="22"/>
      <c r="D74" s="22"/>
      <c r="E74" s="21"/>
      <c r="F74" s="21"/>
      <c r="G74" s="21"/>
      <c r="H74" s="21"/>
      <c r="I74" s="21"/>
      <c r="J74" s="21"/>
    </row>
    <row r="75" spans="1:11" x14ac:dyDescent="0.3">
      <c r="B75" s="110"/>
      <c r="C75" s="24"/>
      <c r="D75" s="24"/>
      <c r="E75" s="21"/>
      <c r="F75" s="21"/>
      <c r="G75" s="21"/>
      <c r="H75" s="21"/>
      <c r="I75" s="21"/>
      <c r="J75" s="21"/>
    </row>
    <row r="76" spans="1:11" x14ac:dyDescent="0.3">
      <c r="B76" s="29"/>
      <c r="C76" s="22"/>
      <c r="D76" s="22"/>
      <c r="E76" s="29"/>
      <c r="F76" s="29"/>
    </row>
    <row r="1048565" spans="2:2" x14ac:dyDescent="0.3">
      <c r="B1048565" s="83" t="s">
        <v>1233</v>
      </c>
    </row>
    <row r="1048566" spans="2:2" x14ac:dyDescent="0.3">
      <c r="B1048566" s="83" t="s">
        <v>1231</v>
      </c>
    </row>
  </sheetData>
  <sheetProtection password="CB66" sheet="1" objects="1" scenarios="1"/>
  <sortState xmlns:xlrd2="http://schemas.microsoft.com/office/spreadsheetml/2017/richdata2" ref="L3:N16">
    <sortCondition ref="L3"/>
  </sortState>
  <dataConsolidate/>
  <mergeCells count="53">
    <mergeCell ref="A33:A55"/>
    <mergeCell ref="A3:A32"/>
    <mergeCell ref="B29:J29"/>
    <mergeCell ref="I26:J26"/>
    <mergeCell ref="B28:J28"/>
    <mergeCell ref="C27:D27"/>
    <mergeCell ref="E27:F27"/>
    <mergeCell ref="I25:J25"/>
    <mergeCell ref="C26:D26"/>
    <mergeCell ref="G27:H27"/>
    <mergeCell ref="C25:D25"/>
    <mergeCell ref="E25:F25"/>
    <mergeCell ref="G25:H25"/>
    <mergeCell ref="E26:F26"/>
    <mergeCell ref="G26:H26"/>
    <mergeCell ref="I27:J27"/>
    <mergeCell ref="B56:J56"/>
    <mergeCell ref="B57:J57"/>
    <mergeCell ref="B58:J58"/>
    <mergeCell ref="B63:J63"/>
    <mergeCell ref="C66:J66"/>
    <mergeCell ref="A56:A70"/>
    <mergeCell ref="C4:E4"/>
    <mergeCell ref="B6:B7"/>
    <mergeCell ref="I24:J24"/>
    <mergeCell ref="G23:H23"/>
    <mergeCell ref="I23:J23"/>
    <mergeCell ref="C23:D23"/>
    <mergeCell ref="C10:J10"/>
    <mergeCell ref="C24:D24"/>
    <mergeCell ref="E24:F24"/>
    <mergeCell ref="G24:H24"/>
    <mergeCell ref="E23:F23"/>
    <mergeCell ref="B22:J22"/>
    <mergeCell ref="C11:J11"/>
    <mergeCell ref="G5:H5"/>
    <mergeCell ref="C9:J9"/>
    <mergeCell ref="B30:J30"/>
    <mergeCell ref="B31:J31"/>
    <mergeCell ref="C5:E5"/>
    <mergeCell ref="V1:Z1"/>
    <mergeCell ref="S1:T1"/>
    <mergeCell ref="P1:Q1"/>
    <mergeCell ref="B1:J1"/>
    <mergeCell ref="L1:N1"/>
    <mergeCell ref="B2:J2"/>
    <mergeCell ref="C3:E3"/>
    <mergeCell ref="G4:H4"/>
    <mergeCell ref="I4:I7"/>
    <mergeCell ref="C6:H7"/>
    <mergeCell ref="C8:J8"/>
    <mergeCell ref="J4:J7"/>
    <mergeCell ref="G3:H3"/>
  </mergeCells>
  <phoneticPr fontId="27" type="noConversion"/>
  <conditionalFormatting sqref="C69:J70">
    <cfRule type="cellIs" dxfId="3" priority="7" stopIfTrue="1" operator="greaterThan">
      <formula>$V$3</formula>
    </cfRule>
    <cfRule type="cellIs" dxfId="2" priority="8" stopIfTrue="1" operator="lessThan">
      <formula>$V$3</formula>
    </cfRule>
  </conditionalFormatting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errorStyle="warning" errorTitle="Validação" error="Favor preencher conforme a lista!" sqref="HY4:IA4" xr:uid="{00000000-0002-0000-0000-000000000000}">
      <formula1>#REF!</formula1>
    </dataValidation>
    <dataValidation type="list" allowBlank="1" sqref="IF3 HY23:IF27 HX29:IF29 HY15:IF15" xr:uid="{00000000-0002-0000-0000-000001000000}">
      <formula1>#REF!</formula1>
    </dataValidation>
    <dataValidation type="list" allowBlank="1" errorTitle="Validação" error="Favor preencher conforme a lista!" sqref="HY8:IF9" xr:uid="{00000000-0002-0000-0000-000002000000}">
      <formula1>#REF!</formula1>
    </dataValidation>
    <dataValidation type="list" allowBlank="1" sqref="IC5:ID5" xr:uid="{00000000-0002-0000-0000-000003000000}">
      <formula1>$L$3:$L$13</formula1>
    </dataValidation>
    <dataValidation type="list" allowBlank="1" sqref="HY13:IF13" xr:uid="{00000000-0002-0000-0000-000004000000}">
      <formula1>$S$3:$S$4</formula1>
    </dataValidation>
    <dataValidation type="list" allowBlank="1" sqref="HY18:IF18" xr:uid="{00000000-0002-0000-0000-000005000000}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 xr:uid="{00000000-0002-0000-0000-000006000000}">
      <formula1>0</formula1>
    </dataValidation>
    <dataValidation type="list" allowBlank="1" showInputMessage="1" showErrorMessage="1" sqref="C9:J9" xr:uid="{00000000-0002-0000-0000-000007000000}">
      <formula1>JOURNAL</formula1>
    </dataValidation>
    <dataValidation type="list" allowBlank="1" showInputMessage="1" showErrorMessage="1" sqref="C4:E4" xr:uid="{00000000-0002-0000-0000-000008000000}">
      <formula1>CLIENTES</formula1>
    </dataValidation>
    <dataValidation type="list" allowBlank="1" showInputMessage="1" showErrorMessage="1" sqref="C8:J8" xr:uid="{00000000-0002-0000-0000-000009000000}">
      <formula1>PUBLISHER</formula1>
    </dataValidation>
    <dataValidation type="list" allowBlank="1" showInputMessage="1" showErrorMessage="1" sqref="C15:J15" xr:uid="{00000000-0002-0000-0000-00000A000000}">
      <formula1>IDIOMAS</formula1>
    </dataValidation>
    <dataValidation type="list" allowBlank="1" showInputMessage="1" showErrorMessage="1" sqref="C23 G23:J23 E23" xr:uid="{00000000-0002-0000-0000-00000B000000}">
      <formula1>TIPO</formula1>
    </dataValidation>
    <dataValidation type="list" allowBlank="1" showInputMessage="1" showErrorMessage="1" sqref="C24 G24:J24 E24" xr:uid="{00000000-0002-0000-0000-00000C000000}">
      <formula1>PAPEL</formula1>
    </dataValidation>
    <dataValidation type="list" allowBlank="1" showInputMessage="1" showErrorMessage="1" sqref="C25 G25:J25 E25" xr:uid="{00000000-0002-0000-0000-00000D000000}">
      <formula1>NPAGINAS</formula1>
    </dataValidation>
    <dataValidation type="list" allowBlank="1" showInputMessage="1" showErrorMessage="1" sqref="C26 G26:J26 E26" xr:uid="{00000000-0002-0000-0000-00000E000000}">
      <formula1>IMPRESSAO</formula1>
    </dataValidation>
    <dataValidation type="list" allowBlank="1" showInputMessage="1" showErrorMessage="1" sqref="C27 G27:J27 E27" xr:uid="{00000000-0002-0000-0000-00000F000000}">
      <formula1>FORMATO</formula1>
    </dataValidation>
    <dataValidation type="list" allowBlank="1" showInputMessage="1" showErrorMessage="1" sqref="B29:J29" xr:uid="{00000000-0002-0000-0000-000010000000}">
      <formula1>ACABAMENTO</formula1>
    </dataValidation>
    <dataValidation allowBlank="1" showInputMessage="1" sqref="B22:J22" xr:uid="{00000000-0002-0000-0000-000011000000}"/>
    <dataValidation type="list" allowBlank="1" sqref="G5:H5" xr:uid="{00000000-0002-0000-0000-000012000000}">
      <formula1>LINHA</formula1>
    </dataValidation>
    <dataValidation type="list" allowBlank="1" sqref="C13:J13" xr:uid="{00000000-0002-0000-0000-000013000000}">
      <formula1>VENDAS</formula1>
    </dataValidation>
    <dataValidation type="list" allowBlank="1" sqref="C18:J18" xr:uid="{00000000-0002-0000-0000-000014000000}">
      <formula1>MOEDA</formula1>
    </dataValidation>
  </dataValidations>
  <hyperlinks>
    <hyperlink ref="B1" r:id="rId1" display="\\wkhserver\sistema de orçamentos\dbOrcamentos-v03_121112-1515.mdb" xr:uid="{00000000-0004-0000-0000-000000000000}"/>
  </hyperlinks>
  <printOptions horizontalCentered="1"/>
  <pageMargins left="0" right="0" top="0.39370078740157483" bottom="0.35433070866141736" header="0.23622047244094491" footer="0.15748031496062992"/>
  <pageSetup paperSize="9" scale="45" orientation="portrait" r:id="rId2"/>
  <headerFooter alignWithMargins="0">
    <oddHeader>&amp;LOrçamento Nº &amp;A&amp;R&amp;F</oddHeader>
    <oddFooter>&amp;R&amp;D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C4" sqref="C4:E4"/>
    </sheetView>
  </sheetViews>
  <sheetFormatPr defaultRowHeight="15" x14ac:dyDescent="0.25"/>
  <cols>
    <col min="1" max="1" width="70.85546875" style="47" bestFit="1" customWidth="1"/>
    <col min="2" max="2" width="54.7109375" style="47" bestFit="1" customWidth="1"/>
    <col min="3" max="3" width="21.5703125" style="47" bestFit="1" customWidth="1"/>
    <col min="4" max="4" width="67.85546875" style="47" bestFit="1" customWidth="1"/>
    <col min="5" max="5" width="15.7109375" style="47" customWidth="1"/>
    <col min="6" max="6" width="19.42578125" style="47" customWidth="1"/>
    <col min="7" max="7" width="25.5703125" style="47" customWidth="1"/>
    <col min="8" max="9" width="15.7109375" style="47" customWidth="1"/>
    <col min="10" max="10" width="32.7109375" style="47" bestFit="1" customWidth="1"/>
    <col min="11" max="16384" width="9.140625" style="66"/>
  </cols>
  <sheetData>
    <row r="1" spans="1:12" s="42" customFormat="1" x14ac:dyDescent="0.25">
      <c r="A1" s="45" t="s">
        <v>611</v>
      </c>
      <c r="B1" s="45" t="s">
        <v>609</v>
      </c>
      <c r="C1" s="45" t="s">
        <v>746</v>
      </c>
      <c r="D1" s="45" t="s">
        <v>623</v>
      </c>
      <c r="E1" s="45" t="s">
        <v>748</v>
      </c>
      <c r="F1" s="45" t="s">
        <v>593</v>
      </c>
      <c r="G1" s="45" t="s">
        <v>582</v>
      </c>
      <c r="H1" s="45" t="s">
        <v>848</v>
      </c>
      <c r="I1" s="45" t="s">
        <v>849</v>
      </c>
      <c r="J1" s="45" t="s">
        <v>670</v>
      </c>
      <c r="L1" s="65"/>
    </row>
    <row r="2" spans="1:12" x14ac:dyDescent="0.25">
      <c r="A2" s="46" t="s">
        <v>774</v>
      </c>
      <c r="B2" s="46" t="s">
        <v>651</v>
      </c>
      <c r="C2" s="46" t="s">
        <v>478</v>
      </c>
      <c r="D2" s="46" t="s">
        <v>508</v>
      </c>
      <c r="E2" s="46" t="s">
        <v>513</v>
      </c>
      <c r="F2" s="46" t="s">
        <v>516</v>
      </c>
      <c r="G2" s="46" t="s">
        <v>528</v>
      </c>
      <c r="H2" s="46">
        <v>1</v>
      </c>
      <c r="I2" s="46" t="s">
        <v>568</v>
      </c>
      <c r="J2" s="46" t="s">
        <v>671</v>
      </c>
    </row>
    <row r="3" spans="1:12" x14ac:dyDescent="0.25">
      <c r="A3" s="46" t="s">
        <v>775</v>
      </c>
      <c r="B3" s="46" t="s">
        <v>413</v>
      </c>
      <c r="C3" s="46" t="s">
        <v>479</v>
      </c>
      <c r="D3" s="46" t="s">
        <v>509</v>
      </c>
      <c r="E3" s="46" t="s">
        <v>1225</v>
      </c>
      <c r="F3" s="46" t="s">
        <v>517</v>
      </c>
      <c r="G3" s="46" t="s">
        <v>529</v>
      </c>
      <c r="H3" s="46">
        <v>2</v>
      </c>
      <c r="I3" s="46" t="s">
        <v>569</v>
      </c>
      <c r="J3" s="46" t="s">
        <v>673</v>
      </c>
    </row>
    <row r="4" spans="1:12" x14ac:dyDescent="0.25">
      <c r="A4" s="46" t="s">
        <v>776</v>
      </c>
      <c r="B4" s="46" t="s">
        <v>414</v>
      </c>
      <c r="C4" s="46" t="s">
        <v>480</v>
      </c>
      <c r="D4" s="46" t="s">
        <v>510</v>
      </c>
      <c r="E4" s="46" t="s">
        <v>514</v>
      </c>
      <c r="F4" s="46" t="s">
        <v>518</v>
      </c>
      <c r="G4" s="46" t="s">
        <v>530</v>
      </c>
      <c r="H4" s="46">
        <v>4</v>
      </c>
      <c r="I4" s="46" t="s">
        <v>570</v>
      </c>
      <c r="J4" s="46" t="s">
        <v>675</v>
      </c>
    </row>
    <row r="5" spans="1:12" x14ac:dyDescent="0.25">
      <c r="A5" s="46" t="s">
        <v>777</v>
      </c>
      <c r="B5" s="46" t="s">
        <v>415</v>
      </c>
      <c r="C5" s="46" t="s">
        <v>1222</v>
      </c>
      <c r="D5" s="46" t="s">
        <v>511</v>
      </c>
      <c r="E5" s="46" t="s">
        <v>515</v>
      </c>
      <c r="F5" s="46" t="s">
        <v>519</v>
      </c>
      <c r="G5" s="46" t="s">
        <v>531</v>
      </c>
      <c r="H5" s="46">
        <v>8</v>
      </c>
      <c r="I5" s="46" t="s">
        <v>571</v>
      </c>
      <c r="J5" s="46" t="s">
        <v>576</v>
      </c>
    </row>
    <row r="6" spans="1:12" x14ac:dyDescent="0.25">
      <c r="A6" s="46" t="s">
        <v>778</v>
      </c>
      <c r="B6" s="46" t="s">
        <v>416</v>
      </c>
      <c r="C6" s="46" t="s">
        <v>1223</v>
      </c>
      <c r="D6" s="46" t="s">
        <v>512</v>
      </c>
      <c r="E6" s="46"/>
      <c r="F6" s="46" t="s">
        <v>520</v>
      </c>
      <c r="G6" s="46" t="s">
        <v>532</v>
      </c>
      <c r="H6" s="46">
        <v>12</v>
      </c>
      <c r="I6" s="46" t="s">
        <v>572</v>
      </c>
      <c r="J6" s="46"/>
    </row>
    <row r="7" spans="1:12" x14ac:dyDescent="0.25">
      <c r="A7" s="46" t="s">
        <v>779</v>
      </c>
      <c r="B7" s="46" t="s">
        <v>417</v>
      </c>
      <c r="C7" s="46" t="s">
        <v>652</v>
      </c>
      <c r="D7" s="46" t="s">
        <v>1224</v>
      </c>
      <c r="E7" s="46"/>
      <c r="F7" s="46" t="s">
        <v>521</v>
      </c>
      <c r="G7" s="46" t="s">
        <v>533</v>
      </c>
      <c r="H7" s="46">
        <v>16</v>
      </c>
      <c r="I7" s="46" t="s">
        <v>573</v>
      </c>
      <c r="J7" s="46"/>
    </row>
    <row r="8" spans="1:12" x14ac:dyDescent="0.25">
      <c r="A8" s="46" t="s">
        <v>780</v>
      </c>
      <c r="B8" s="46" t="s">
        <v>418</v>
      </c>
      <c r="C8" s="46" t="s">
        <v>653</v>
      </c>
      <c r="D8" s="46"/>
      <c r="E8" s="46"/>
      <c r="F8" s="46" t="s">
        <v>522</v>
      </c>
      <c r="G8" s="46" t="s">
        <v>534</v>
      </c>
      <c r="H8" s="46">
        <v>20</v>
      </c>
      <c r="I8" s="46" t="s">
        <v>574</v>
      </c>
      <c r="J8" s="46"/>
    </row>
    <row r="9" spans="1:12" x14ac:dyDescent="0.25">
      <c r="A9" s="46" t="s">
        <v>781</v>
      </c>
      <c r="B9" s="46" t="s">
        <v>419</v>
      </c>
      <c r="C9" s="46" t="s">
        <v>654</v>
      </c>
      <c r="D9" s="46"/>
      <c r="E9" s="46"/>
      <c r="F9" s="46" t="s">
        <v>523</v>
      </c>
      <c r="G9" s="46" t="s">
        <v>535</v>
      </c>
      <c r="H9" s="46">
        <v>24</v>
      </c>
      <c r="I9" s="46" t="s">
        <v>575</v>
      </c>
      <c r="J9" s="46"/>
    </row>
    <row r="10" spans="1:12" x14ac:dyDescent="0.25">
      <c r="A10" s="46" t="s">
        <v>782</v>
      </c>
      <c r="B10" s="46" t="s">
        <v>420</v>
      </c>
      <c r="C10" s="46" t="s">
        <v>481</v>
      </c>
      <c r="D10" s="46"/>
      <c r="E10" s="46"/>
      <c r="F10" s="46" t="s">
        <v>524</v>
      </c>
      <c r="G10" s="46" t="s">
        <v>536</v>
      </c>
      <c r="H10" s="46">
        <v>28</v>
      </c>
      <c r="I10" s="46"/>
      <c r="J10" s="46"/>
    </row>
    <row r="11" spans="1:12" x14ac:dyDescent="0.25">
      <c r="A11" s="46" t="s">
        <v>783</v>
      </c>
      <c r="B11" s="46" t="s">
        <v>421</v>
      </c>
      <c r="C11" s="46" t="s">
        <v>655</v>
      </c>
      <c r="D11" s="46"/>
      <c r="E11" s="46"/>
      <c r="F11" s="46" t="s">
        <v>525</v>
      </c>
      <c r="G11" s="46" t="s">
        <v>537</v>
      </c>
      <c r="H11" s="46">
        <v>32</v>
      </c>
      <c r="I11" s="46"/>
      <c r="J11" s="46"/>
    </row>
    <row r="12" spans="1:12" x14ac:dyDescent="0.25">
      <c r="A12" s="46" t="s">
        <v>784</v>
      </c>
      <c r="B12" s="46" t="s">
        <v>422</v>
      </c>
      <c r="C12" s="46" t="s">
        <v>656</v>
      </c>
      <c r="D12" s="46"/>
      <c r="E12" s="46"/>
      <c r="F12" s="46" t="s">
        <v>546</v>
      </c>
      <c r="G12" s="46" t="s">
        <v>538</v>
      </c>
      <c r="H12" s="46">
        <v>36</v>
      </c>
      <c r="I12" s="46"/>
      <c r="J12" s="46"/>
    </row>
    <row r="13" spans="1:12" x14ac:dyDescent="0.25">
      <c r="A13" s="46" t="s">
        <v>785</v>
      </c>
      <c r="B13" s="46" t="s">
        <v>423</v>
      </c>
      <c r="C13" s="46" t="s">
        <v>482</v>
      </c>
      <c r="D13" s="46"/>
      <c r="E13" s="46"/>
      <c r="F13" s="46" t="s">
        <v>546</v>
      </c>
      <c r="G13" s="46" t="s">
        <v>539</v>
      </c>
      <c r="H13" s="46">
        <v>40</v>
      </c>
      <c r="I13" s="46"/>
      <c r="J13" s="46"/>
    </row>
    <row r="14" spans="1:12" x14ac:dyDescent="0.25">
      <c r="A14" s="46" t="s">
        <v>786</v>
      </c>
      <c r="B14" s="46" t="s">
        <v>424</v>
      </c>
      <c r="C14" s="46" t="s">
        <v>657</v>
      </c>
      <c r="D14" s="46"/>
      <c r="E14" s="46"/>
      <c r="F14" s="46" t="s">
        <v>526</v>
      </c>
      <c r="G14" s="46" t="s">
        <v>540</v>
      </c>
      <c r="H14" s="46">
        <v>44</v>
      </c>
      <c r="I14" s="46"/>
      <c r="J14" s="46"/>
    </row>
    <row r="15" spans="1:12" x14ac:dyDescent="0.25">
      <c r="A15" s="46" t="s">
        <v>787</v>
      </c>
      <c r="B15" s="46" t="s">
        <v>425</v>
      </c>
      <c r="C15" s="46" t="s">
        <v>658</v>
      </c>
      <c r="D15" s="46"/>
      <c r="E15" s="46"/>
      <c r="F15" s="46" t="s">
        <v>527</v>
      </c>
      <c r="G15" s="46" t="s">
        <v>541</v>
      </c>
      <c r="H15" s="46">
        <v>48</v>
      </c>
      <c r="I15" s="46"/>
      <c r="J15" s="46"/>
    </row>
    <row r="16" spans="1:12" x14ac:dyDescent="0.25">
      <c r="A16" s="46" t="s">
        <v>788</v>
      </c>
      <c r="B16" s="46" t="s">
        <v>426</v>
      </c>
      <c r="C16" s="46" t="s">
        <v>483</v>
      </c>
      <c r="D16" s="46"/>
      <c r="E16" s="46"/>
      <c r="F16" s="46"/>
      <c r="G16" s="46" t="s">
        <v>542</v>
      </c>
      <c r="H16" s="46">
        <v>52</v>
      </c>
      <c r="I16" s="46"/>
      <c r="J16" s="46"/>
    </row>
    <row r="17" spans="1:10" x14ac:dyDescent="0.25">
      <c r="A17" s="46" t="s">
        <v>789</v>
      </c>
      <c r="B17" s="46" t="s">
        <v>427</v>
      </c>
      <c r="C17" s="46" t="s">
        <v>484</v>
      </c>
      <c r="D17" s="46"/>
      <c r="E17" s="46"/>
      <c r="F17" s="46"/>
      <c r="G17" s="46" t="s">
        <v>543</v>
      </c>
      <c r="H17" s="46">
        <v>56</v>
      </c>
      <c r="I17" s="46"/>
      <c r="J17" s="46"/>
    </row>
    <row r="18" spans="1:10" x14ac:dyDescent="0.25">
      <c r="A18" s="46" t="s">
        <v>790</v>
      </c>
      <c r="B18" s="46" t="s">
        <v>428</v>
      </c>
      <c r="C18" s="46" t="s">
        <v>659</v>
      </c>
      <c r="D18" s="46"/>
      <c r="E18" s="46"/>
      <c r="F18" s="46"/>
      <c r="G18" s="46" t="s">
        <v>544</v>
      </c>
      <c r="H18" s="46">
        <v>60</v>
      </c>
      <c r="I18" s="46"/>
      <c r="J18" s="46"/>
    </row>
    <row r="19" spans="1:10" x14ac:dyDescent="0.25">
      <c r="A19" s="46" t="s">
        <v>791</v>
      </c>
      <c r="B19" s="46" t="s">
        <v>429</v>
      </c>
      <c r="C19" s="46" t="s">
        <v>485</v>
      </c>
      <c r="D19" s="46"/>
      <c r="E19" s="46"/>
      <c r="F19" s="46"/>
      <c r="G19" s="46" t="s">
        <v>545</v>
      </c>
      <c r="H19" s="46">
        <v>64</v>
      </c>
      <c r="I19" s="46"/>
      <c r="J19" s="46"/>
    </row>
    <row r="20" spans="1:10" x14ac:dyDescent="0.25">
      <c r="A20" s="46" t="s">
        <v>792</v>
      </c>
      <c r="B20" s="46" t="s">
        <v>430</v>
      </c>
      <c r="C20" s="46" t="s">
        <v>661</v>
      </c>
      <c r="D20" s="46"/>
      <c r="E20" s="46"/>
      <c r="F20" s="46"/>
      <c r="G20" s="46" t="s">
        <v>546</v>
      </c>
      <c r="H20" s="46">
        <v>68</v>
      </c>
      <c r="I20" s="46"/>
      <c r="J20" s="46"/>
    </row>
    <row r="21" spans="1:10" x14ac:dyDescent="0.25">
      <c r="A21" s="46" t="s">
        <v>793</v>
      </c>
      <c r="B21" s="46" t="s">
        <v>431</v>
      </c>
      <c r="C21" s="46" t="s">
        <v>662</v>
      </c>
      <c r="D21" s="46"/>
      <c r="E21" s="46"/>
      <c r="F21" s="46"/>
      <c r="G21" s="46" t="s">
        <v>547</v>
      </c>
      <c r="H21" s="46">
        <v>72</v>
      </c>
      <c r="I21" s="46"/>
      <c r="J21" s="46"/>
    </row>
    <row r="22" spans="1:10" x14ac:dyDescent="0.25">
      <c r="A22" s="46" t="s">
        <v>794</v>
      </c>
      <c r="B22" s="47" t="s">
        <v>432</v>
      </c>
      <c r="C22" s="47" t="s">
        <v>663</v>
      </c>
      <c r="G22" s="47" t="s">
        <v>548</v>
      </c>
      <c r="H22" s="47">
        <v>76</v>
      </c>
    </row>
    <row r="23" spans="1:10" x14ac:dyDescent="0.25">
      <c r="A23" s="46" t="s">
        <v>795</v>
      </c>
      <c r="B23" s="47" t="s">
        <v>433</v>
      </c>
      <c r="C23" s="47" t="s">
        <v>664</v>
      </c>
      <c r="G23" s="47" t="s">
        <v>549</v>
      </c>
      <c r="H23" s="47">
        <v>80</v>
      </c>
    </row>
    <row r="24" spans="1:10" x14ac:dyDescent="0.25">
      <c r="A24" s="46" t="s">
        <v>796</v>
      </c>
      <c r="B24" s="47" t="s">
        <v>434</v>
      </c>
      <c r="C24" s="47" t="s">
        <v>486</v>
      </c>
      <c r="G24" s="47" t="s">
        <v>550</v>
      </c>
      <c r="H24" s="47">
        <v>84</v>
      </c>
    </row>
    <row r="25" spans="1:10" x14ac:dyDescent="0.25">
      <c r="A25" s="46" t="s">
        <v>797</v>
      </c>
      <c r="B25" s="47" t="s">
        <v>435</v>
      </c>
      <c r="C25" s="47" t="s">
        <v>487</v>
      </c>
      <c r="G25" s="47" t="s">
        <v>551</v>
      </c>
      <c r="H25" s="47">
        <v>88</v>
      </c>
    </row>
    <row r="26" spans="1:10" x14ac:dyDescent="0.25">
      <c r="A26" s="46" t="s">
        <v>798</v>
      </c>
      <c r="B26" s="47" t="s">
        <v>436</v>
      </c>
      <c r="C26" s="47" t="s">
        <v>665</v>
      </c>
      <c r="G26" s="47" t="s">
        <v>552</v>
      </c>
      <c r="H26" s="47">
        <v>92</v>
      </c>
    </row>
    <row r="27" spans="1:10" x14ac:dyDescent="0.25">
      <c r="A27" s="46" t="s">
        <v>799</v>
      </c>
      <c r="B27" s="47" t="s">
        <v>437</v>
      </c>
      <c r="C27" s="47" t="s">
        <v>488</v>
      </c>
      <c r="G27" s="47" t="s">
        <v>553</v>
      </c>
      <c r="H27" s="47">
        <v>96</v>
      </c>
    </row>
    <row r="28" spans="1:10" x14ac:dyDescent="0.25">
      <c r="A28" s="46" t="s">
        <v>800</v>
      </c>
      <c r="B28" s="47" t="s">
        <v>438</v>
      </c>
      <c r="C28" s="47" t="s">
        <v>669</v>
      </c>
      <c r="G28" s="47" t="s">
        <v>554</v>
      </c>
      <c r="H28" s="47">
        <v>100</v>
      </c>
    </row>
    <row r="29" spans="1:10" x14ac:dyDescent="0.25">
      <c r="A29" s="46" t="s">
        <v>801</v>
      </c>
      <c r="B29" s="47" t="s">
        <v>439</v>
      </c>
      <c r="C29" s="47" t="s">
        <v>489</v>
      </c>
      <c r="G29" s="47" t="s">
        <v>555</v>
      </c>
    </row>
    <row r="30" spans="1:10" x14ac:dyDescent="0.25">
      <c r="A30" s="46" t="s">
        <v>802</v>
      </c>
      <c r="B30" s="47" t="s">
        <v>440</v>
      </c>
      <c r="C30" s="47" t="s">
        <v>672</v>
      </c>
      <c r="G30" s="47" t="s">
        <v>556</v>
      </c>
    </row>
    <row r="31" spans="1:10" x14ac:dyDescent="0.25">
      <c r="A31" s="46" t="s">
        <v>803</v>
      </c>
      <c r="B31" s="47" t="s">
        <v>441</v>
      </c>
      <c r="C31" s="47" t="s">
        <v>490</v>
      </c>
      <c r="G31" s="47" t="s">
        <v>557</v>
      </c>
    </row>
    <row r="32" spans="1:10" x14ac:dyDescent="0.25">
      <c r="A32" s="46" t="s">
        <v>804</v>
      </c>
      <c r="B32" s="47" t="s">
        <v>442</v>
      </c>
      <c r="C32" s="47" t="s">
        <v>674</v>
      </c>
      <c r="G32" s="47" t="s">
        <v>558</v>
      </c>
    </row>
    <row r="33" spans="1:10" x14ac:dyDescent="0.25">
      <c r="A33" s="46" t="s">
        <v>805</v>
      </c>
      <c r="B33" s="46" t="s">
        <v>443</v>
      </c>
      <c r="C33" s="46" t="s">
        <v>676</v>
      </c>
      <c r="D33" s="46"/>
      <c r="E33" s="46"/>
      <c r="F33" s="46"/>
      <c r="G33" s="46" t="s">
        <v>559</v>
      </c>
      <c r="H33" s="46"/>
      <c r="I33" s="46"/>
      <c r="J33" s="46"/>
    </row>
    <row r="34" spans="1:10" x14ac:dyDescent="0.25">
      <c r="A34" s="46" t="s">
        <v>806</v>
      </c>
      <c r="B34" s="46" t="s">
        <v>444</v>
      </c>
      <c r="C34" s="46" t="s">
        <v>491</v>
      </c>
      <c r="D34" s="46"/>
      <c r="E34" s="46"/>
      <c r="F34" s="46"/>
      <c r="G34" s="46" t="s">
        <v>560</v>
      </c>
      <c r="H34" s="46"/>
      <c r="I34" s="46"/>
      <c r="J34" s="46"/>
    </row>
    <row r="35" spans="1:10" x14ac:dyDescent="0.25">
      <c r="A35" s="46" t="s">
        <v>807</v>
      </c>
      <c r="B35" s="46" t="s">
        <v>445</v>
      </c>
      <c r="C35" s="46" t="s">
        <v>677</v>
      </c>
      <c r="D35" s="46"/>
      <c r="E35" s="46"/>
      <c r="F35" s="46"/>
      <c r="G35" s="46" t="s">
        <v>561</v>
      </c>
      <c r="H35" s="46"/>
      <c r="I35" s="46"/>
      <c r="J35" s="46"/>
    </row>
    <row r="36" spans="1:10" x14ac:dyDescent="0.25">
      <c r="A36" s="46" t="s">
        <v>808</v>
      </c>
      <c r="B36" s="46" t="s">
        <v>446</v>
      </c>
      <c r="C36" s="46" t="s">
        <v>679</v>
      </c>
      <c r="D36" s="46"/>
      <c r="E36" s="46"/>
      <c r="F36" s="46"/>
      <c r="G36" s="46" t="s">
        <v>562</v>
      </c>
      <c r="H36" s="46"/>
      <c r="I36" s="46"/>
      <c r="J36" s="46"/>
    </row>
    <row r="37" spans="1:10" x14ac:dyDescent="0.25">
      <c r="A37" s="46" t="s">
        <v>809</v>
      </c>
      <c r="B37" s="46" t="s">
        <v>447</v>
      </c>
      <c r="C37" s="46" t="s">
        <v>492</v>
      </c>
      <c r="D37" s="46"/>
      <c r="E37" s="46"/>
      <c r="F37" s="46"/>
      <c r="G37" s="46" t="s">
        <v>563</v>
      </c>
      <c r="H37" s="46"/>
      <c r="I37" s="46"/>
      <c r="J37" s="46"/>
    </row>
    <row r="38" spans="1:10" x14ac:dyDescent="0.25">
      <c r="A38" s="46" t="s">
        <v>810</v>
      </c>
      <c r="B38" s="46" t="s">
        <v>678</v>
      </c>
      <c r="C38" s="46" t="s">
        <v>493</v>
      </c>
      <c r="D38" s="46"/>
      <c r="E38" s="46"/>
      <c r="F38" s="46"/>
      <c r="G38" s="46" t="s">
        <v>564</v>
      </c>
      <c r="H38" s="46"/>
      <c r="I38" s="46"/>
      <c r="J38" s="46"/>
    </row>
    <row r="39" spans="1:10" x14ac:dyDescent="0.25">
      <c r="A39" s="46" t="s">
        <v>811</v>
      </c>
      <c r="B39" s="46" t="s">
        <v>448</v>
      </c>
      <c r="C39" s="46" t="s">
        <v>494</v>
      </c>
      <c r="D39" s="46"/>
      <c r="E39" s="46"/>
      <c r="F39" s="46"/>
      <c r="G39" s="46" t="s">
        <v>565</v>
      </c>
      <c r="H39" s="46"/>
      <c r="I39" s="46"/>
      <c r="J39" s="46"/>
    </row>
    <row r="40" spans="1:10" x14ac:dyDescent="0.25">
      <c r="A40" s="46" t="s">
        <v>812</v>
      </c>
      <c r="B40" s="46" t="s">
        <v>449</v>
      </c>
      <c r="C40" s="46" t="s">
        <v>681</v>
      </c>
      <c r="D40" s="46"/>
      <c r="E40" s="46"/>
      <c r="F40" s="46"/>
      <c r="G40" s="46" t="s">
        <v>566</v>
      </c>
      <c r="H40" s="46"/>
      <c r="I40" s="46"/>
      <c r="J40" s="46"/>
    </row>
    <row r="41" spans="1:10" x14ac:dyDescent="0.25">
      <c r="A41" s="46" t="s">
        <v>813</v>
      </c>
      <c r="B41" s="46" t="s">
        <v>450</v>
      </c>
      <c r="C41" s="46" t="s">
        <v>682</v>
      </c>
      <c r="D41" s="46"/>
      <c r="E41" s="46"/>
      <c r="F41" s="46"/>
      <c r="G41" s="46" t="s">
        <v>567</v>
      </c>
      <c r="H41" s="46"/>
      <c r="I41" s="46"/>
      <c r="J41" s="46"/>
    </row>
    <row r="42" spans="1:10" x14ac:dyDescent="0.25">
      <c r="A42" s="46" t="s">
        <v>814</v>
      </c>
      <c r="B42" s="46" t="s">
        <v>680</v>
      </c>
      <c r="C42" s="46" t="s">
        <v>495</v>
      </c>
      <c r="D42" s="46"/>
      <c r="E42" s="46"/>
      <c r="F42" s="46"/>
      <c r="G42" s="46"/>
      <c r="H42" s="46"/>
      <c r="I42" s="46"/>
      <c r="J42" s="46"/>
    </row>
    <row r="43" spans="1:10" x14ac:dyDescent="0.25">
      <c r="A43" s="46" t="s">
        <v>815</v>
      </c>
      <c r="B43" s="46" t="s">
        <v>451</v>
      </c>
      <c r="C43" s="46" t="s">
        <v>683</v>
      </c>
      <c r="D43" s="46"/>
      <c r="E43" s="46"/>
      <c r="F43" s="46"/>
      <c r="G43" s="46"/>
      <c r="H43" s="46"/>
      <c r="I43" s="46"/>
      <c r="J43" s="46"/>
    </row>
    <row r="44" spans="1:10" x14ac:dyDescent="0.25">
      <c r="A44" s="46" t="s">
        <v>816</v>
      </c>
      <c r="B44" s="46" t="s">
        <v>452</v>
      </c>
      <c r="C44" s="46" t="s">
        <v>496</v>
      </c>
      <c r="D44" s="46"/>
      <c r="E44" s="46"/>
      <c r="F44" s="46"/>
      <c r="G44" s="46"/>
      <c r="H44" s="46"/>
      <c r="I44" s="46"/>
      <c r="J44" s="46"/>
    </row>
    <row r="45" spans="1:10" x14ac:dyDescent="0.25">
      <c r="A45" s="46" t="s">
        <v>817</v>
      </c>
      <c r="B45" s="46" t="s">
        <v>453</v>
      </c>
      <c r="C45" s="46" t="s">
        <v>497</v>
      </c>
      <c r="D45" s="46"/>
      <c r="E45" s="46"/>
      <c r="F45" s="46"/>
      <c r="G45" s="46"/>
      <c r="H45" s="46"/>
      <c r="I45" s="46"/>
      <c r="J45" s="46"/>
    </row>
    <row r="46" spans="1:10" x14ac:dyDescent="0.25">
      <c r="A46" s="46" t="s">
        <v>818</v>
      </c>
      <c r="B46" s="46" t="s">
        <v>454</v>
      </c>
      <c r="C46" s="46" t="s">
        <v>498</v>
      </c>
      <c r="D46" s="46"/>
      <c r="E46" s="46"/>
      <c r="F46" s="46"/>
      <c r="G46" s="46"/>
      <c r="H46" s="46"/>
      <c r="I46" s="46"/>
      <c r="J46" s="46"/>
    </row>
    <row r="47" spans="1:10" x14ac:dyDescent="0.25">
      <c r="A47" s="46" t="s">
        <v>819</v>
      </c>
      <c r="B47" s="46" t="s">
        <v>455</v>
      </c>
      <c r="C47" s="46" t="s">
        <v>499</v>
      </c>
      <c r="D47" s="46"/>
      <c r="E47" s="46"/>
      <c r="F47" s="46"/>
      <c r="G47" s="46"/>
      <c r="H47" s="46"/>
      <c r="I47" s="46"/>
      <c r="J47" s="46"/>
    </row>
    <row r="48" spans="1:10" x14ac:dyDescent="0.25">
      <c r="A48" s="46" t="s">
        <v>820</v>
      </c>
      <c r="B48" s="46" t="s">
        <v>456</v>
      </c>
      <c r="C48" s="46" t="s">
        <v>684</v>
      </c>
      <c r="D48" s="46"/>
      <c r="E48" s="46"/>
      <c r="F48" s="46"/>
      <c r="G48" s="46"/>
      <c r="H48" s="46"/>
      <c r="I48" s="46"/>
      <c r="J48" s="46"/>
    </row>
    <row r="49" spans="1:10" x14ac:dyDescent="0.25">
      <c r="A49" s="46" t="s">
        <v>821</v>
      </c>
      <c r="B49" s="46" t="s">
        <v>457</v>
      </c>
      <c r="C49" s="46" t="s">
        <v>500</v>
      </c>
      <c r="D49" s="46"/>
      <c r="E49" s="46"/>
      <c r="F49" s="46"/>
      <c r="G49" s="46"/>
      <c r="H49" s="46"/>
      <c r="I49" s="46"/>
      <c r="J49" s="46"/>
    </row>
    <row r="50" spans="1:10" x14ac:dyDescent="0.25">
      <c r="A50" s="46" t="s">
        <v>822</v>
      </c>
      <c r="B50" s="46" t="s">
        <v>458</v>
      </c>
      <c r="C50" s="46" t="s">
        <v>501</v>
      </c>
      <c r="D50" s="46"/>
      <c r="E50" s="46"/>
      <c r="F50" s="46"/>
      <c r="G50" s="46"/>
      <c r="H50" s="46"/>
      <c r="I50" s="46"/>
      <c r="J50" s="46"/>
    </row>
    <row r="51" spans="1:10" x14ac:dyDescent="0.25">
      <c r="A51" s="46" t="s">
        <v>823</v>
      </c>
      <c r="B51" s="46" t="s">
        <v>459</v>
      </c>
      <c r="C51" s="46" t="s">
        <v>685</v>
      </c>
      <c r="D51" s="46"/>
      <c r="E51" s="46"/>
      <c r="F51" s="46"/>
      <c r="G51" s="46"/>
      <c r="H51" s="46"/>
      <c r="I51" s="46"/>
      <c r="J51" s="46"/>
    </row>
    <row r="52" spans="1:10" x14ac:dyDescent="0.25">
      <c r="A52" s="46" t="s">
        <v>824</v>
      </c>
      <c r="B52" s="46" t="s">
        <v>686</v>
      </c>
      <c r="C52" s="46" t="s">
        <v>502</v>
      </c>
      <c r="D52" s="46"/>
      <c r="E52" s="46"/>
      <c r="F52" s="46"/>
      <c r="G52" s="46"/>
      <c r="H52" s="46"/>
      <c r="I52" s="46"/>
      <c r="J52" s="46"/>
    </row>
    <row r="53" spans="1:10" x14ac:dyDescent="0.25">
      <c r="A53" s="46" t="s">
        <v>825</v>
      </c>
      <c r="B53" s="46" t="s">
        <v>460</v>
      </c>
      <c r="C53" s="46" t="s">
        <v>687</v>
      </c>
      <c r="D53" s="46"/>
      <c r="E53" s="46"/>
      <c r="F53" s="46"/>
      <c r="G53" s="46"/>
      <c r="H53" s="46"/>
      <c r="I53" s="46"/>
      <c r="J53" s="46"/>
    </row>
    <row r="54" spans="1:10" x14ac:dyDescent="0.25">
      <c r="A54" s="46" t="s">
        <v>826</v>
      </c>
      <c r="B54" s="46" t="s">
        <v>461</v>
      </c>
      <c r="C54" s="46" t="s">
        <v>688</v>
      </c>
      <c r="D54" s="46"/>
      <c r="E54" s="46"/>
      <c r="F54" s="46"/>
      <c r="G54" s="46"/>
      <c r="H54" s="46"/>
      <c r="I54" s="46"/>
      <c r="J54" s="46"/>
    </row>
    <row r="55" spans="1:10" x14ac:dyDescent="0.25">
      <c r="A55" s="46" t="s">
        <v>827</v>
      </c>
      <c r="B55" s="46" t="s">
        <v>462</v>
      </c>
      <c r="C55" s="46" t="s">
        <v>689</v>
      </c>
      <c r="D55" s="46"/>
      <c r="E55" s="46"/>
      <c r="F55" s="46"/>
      <c r="G55" s="46"/>
      <c r="H55" s="46"/>
      <c r="I55" s="46"/>
      <c r="J55" s="46"/>
    </row>
    <row r="56" spans="1:10" x14ac:dyDescent="0.25">
      <c r="A56" s="46" t="s">
        <v>828</v>
      </c>
      <c r="B56" s="46" t="s">
        <v>463</v>
      </c>
      <c r="C56" s="46" t="s">
        <v>503</v>
      </c>
      <c r="D56" s="46"/>
      <c r="E56" s="46"/>
      <c r="F56" s="46"/>
      <c r="G56" s="46"/>
      <c r="H56" s="46"/>
      <c r="I56" s="46"/>
      <c r="J56" s="46"/>
    </row>
    <row r="57" spans="1:10" x14ac:dyDescent="0.25">
      <c r="A57" s="47" t="s">
        <v>829</v>
      </c>
      <c r="B57" s="47" t="s">
        <v>464</v>
      </c>
      <c r="C57" s="47" t="s">
        <v>691</v>
      </c>
    </row>
    <row r="58" spans="1:10" x14ac:dyDescent="0.25">
      <c r="A58" s="47" t="s">
        <v>830</v>
      </c>
      <c r="B58" s="47" t="s">
        <v>690</v>
      </c>
      <c r="C58" s="47" t="s">
        <v>692</v>
      </c>
    </row>
    <row r="59" spans="1:10" x14ac:dyDescent="0.25">
      <c r="A59" s="47" t="s">
        <v>831</v>
      </c>
      <c r="B59" s="47" t="s">
        <v>465</v>
      </c>
      <c r="C59" s="47" t="s">
        <v>693</v>
      </c>
    </row>
    <row r="60" spans="1:10" x14ac:dyDescent="0.25">
      <c r="A60" s="47" t="s">
        <v>832</v>
      </c>
      <c r="B60" s="47" t="s">
        <v>466</v>
      </c>
      <c r="C60" s="47" t="s">
        <v>694</v>
      </c>
    </row>
    <row r="61" spans="1:10" x14ac:dyDescent="0.25">
      <c r="A61" s="47" t="s">
        <v>833</v>
      </c>
      <c r="B61" s="47" t="s">
        <v>467</v>
      </c>
      <c r="C61" s="47" t="s">
        <v>695</v>
      </c>
    </row>
    <row r="62" spans="1:10" x14ac:dyDescent="0.25">
      <c r="A62" s="47" t="s">
        <v>834</v>
      </c>
      <c r="B62" s="47" t="s">
        <v>468</v>
      </c>
      <c r="C62" s="47" t="s">
        <v>504</v>
      </c>
    </row>
    <row r="63" spans="1:10" x14ac:dyDescent="0.25">
      <c r="A63" s="47" t="s">
        <v>835</v>
      </c>
      <c r="B63" s="47" t="s">
        <v>469</v>
      </c>
      <c r="C63" s="47" t="s">
        <v>505</v>
      </c>
    </row>
    <row r="64" spans="1:10" x14ac:dyDescent="0.25">
      <c r="A64" s="47" t="s">
        <v>836</v>
      </c>
      <c r="B64" s="47" t="s">
        <v>470</v>
      </c>
      <c r="C64" s="47" t="s">
        <v>506</v>
      </c>
    </row>
    <row r="65" spans="1:10" x14ac:dyDescent="0.25">
      <c r="A65" s="46" t="s">
        <v>837</v>
      </c>
      <c r="B65" s="46" t="s">
        <v>471</v>
      </c>
      <c r="C65" s="46" t="s">
        <v>697</v>
      </c>
      <c r="D65" s="46"/>
      <c r="E65" s="46"/>
      <c r="F65" s="46"/>
      <c r="G65" s="46"/>
      <c r="H65" s="46"/>
      <c r="I65" s="46"/>
      <c r="J65" s="46"/>
    </row>
    <row r="66" spans="1:10" x14ac:dyDescent="0.25">
      <c r="A66" s="46" t="s">
        <v>838</v>
      </c>
      <c r="B66" s="46" t="s">
        <v>472</v>
      </c>
      <c r="C66" s="46" t="s">
        <v>1226</v>
      </c>
      <c r="D66" s="46"/>
      <c r="E66" s="46"/>
      <c r="F66" s="46"/>
      <c r="G66" s="46"/>
      <c r="H66" s="46"/>
      <c r="I66" s="46"/>
      <c r="J66" s="46"/>
    </row>
    <row r="67" spans="1:10" x14ac:dyDescent="0.25">
      <c r="A67" s="46" t="s">
        <v>839</v>
      </c>
      <c r="B67" s="46" t="s">
        <v>473</v>
      </c>
      <c r="C67" s="46" t="s">
        <v>698</v>
      </c>
      <c r="D67" s="46"/>
      <c r="E67" s="46"/>
      <c r="F67" s="46"/>
      <c r="G67" s="46"/>
      <c r="H67" s="46"/>
      <c r="I67" s="46"/>
      <c r="J67" s="46"/>
    </row>
    <row r="68" spans="1:10" x14ac:dyDescent="0.25">
      <c r="A68" s="46" t="s">
        <v>840</v>
      </c>
      <c r="B68" s="46" t="s">
        <v>474</v>
      </c>
      <c r="C68" s="46" t="s">
        <v>507</v>
      </c>
      <c r="D68" s="46"/>
      <c r="E68" s="46"/>
      <c r="F68" s="46"/>
      <c r="G68" s="46"/>
      <c r="H68" s="46"/>
      <c r="I68" s="46"/>
      <c r="J68" s="46"/>
    </row>
    <row r="69" spans="1:10" x14ac:dyDescent="0.25">
      <c r="A69" s="47" t="s">
        <v>841</v>
      </c>
      <c r="B69" s="47" t="s">
        <v>475</v>
      </c>
    </row>
    <row r="70" spans="1:10" x14ac:dyDescent="0.25">
      <c r="A70" s="47" t="s">
        <v>842</v>
      </c>
      <c r="B70" s="47" t="s">
        <v>476</v>
      </c>
    </row>
    <row r="71" spans="1:10" x14ac:dyDescent="0.25">
      <c r="A71" s="47" t="s">
        <v>843</v>
      </c>
      <c r="B71" s="47" t="s">
        <v>477</v>
      </c>
    </row>
    <row r="72" spans="1:10" x14ac:dyDescent="0.25">
      <c r="A72" s="47" t="s">
        <v>844</v>
      </c>
      <c r="B72" s="47" t="s">
        <v>696</v>
      </c>
    </row>
    <row r="73" spans="1:10" x14ac:dyDescent="0.25">
      <c r="A73" s="47" t="s">
        <v>845</v>
      </c>
    </row>
    <row r="74" spans="1:10" x14ac:dyDescent="0.25">
      <c r="A74" s="47" t="s">
        <v>846</v>
      </c>
    </row>
    <row r="75" spans="1:10" x14ac:dyDescent="0.25">
      <c r="A75" s="47" t="s">
        <v>847</v>
      </c>
    </row>
    <row r="76" spans="1:10" x14ac:dyDescent="0.25">
      <c r="A76" s="47" t="s">
        <v>850</v>
      </c>
    </row>
    <row r="77" spans="1:10" x14ac:dyDescent="0.25">
      <c r="A77" s="47" t="s">
        <v>851</v>
      </c>
    </row>
    <row r="78" spans="1:10" x14ac:dyDescent="0.25">
      <c r="A78" s="47" t="s">
        <v>852</v>
      </c>
    </row>
    <row r="79" spans="1:10" x14ac:dyDescent="0.25">
      <c r="A79" s="47" t="s">
        <v>853</v>
      </c>
    </row>
    <row r="80" spans="1:10" x14ac:dyDescent="0.25">
      <c r="A80" s="47" t="s">
        <v>854</v>
      </c>
    </row>
    <row r="81" spans="1:1" x14ac:dyDescent="0.25">
      <c r="A81" s="47" t="s">
        <v>855</v>
      </c>
    </row>
    <row r="82" spans="1:1" x14ac:dyDescent="0.25">
      <c r="A82" s="47" t="s">
        <v>856</v>
      </c>
    </row>
    <row r="83" spans="1:1" x14ac:dyDescent="0.25">
      <c r="A83" s="47" t="s">
        <v>857</v>
      </c>
    </row>
    <row r="84" spans="1:1" x14ac:dyDescent="0.25">
      <c r="A84" s="47" t="s">
        <v>858</v>
      </c>
    </row>
    <row r="85" spans="1:1" x14ac:dyDescent="0.25">
      <c r="A85" s="47" t="s">
        <v>859</v>
      </c>
    </row>
    <row r="86" spans="1:1" x14ac:dyDescent="0.25">
      <c r="A86" s="47" t="s">
        <v>860</v>
      </c>
    </row>
    <row r="87" spans="1:1" x14ac:dyDescent="0.25">
      <c r="A87" s="47" t="s">
        <v>861</v>
      </c>
    </row>
    <row r="88" spans="1:1" x14ac:dyDescent="0.25">
      <c r="A88" s="47" t="s">
        <v>862</v>
      </c>
    </row>
    <row r="89" spans="1:1" x14ac:dyDescent="0.25">
      <c r="A89" s="47" t="s">
        <v>863</v>
      </c>
    </row>
    <row r="90" spans="1:1" x14ac:dyDescent="0.25">
      <c r="A90" s="47" t="s">
        <v>864</v>
      </c>
    </row>
    <row r="91" spans="1:1" x14ac:dyDescent="0.25">
      <c r="A91" s="47" t="s">
        <v>865</v>
      </c>
    </row>
    <row r="92" spans="1:1" x14ac:dyDescent="0.25">
      <c r="A92" s="47" t="s">
        <v>866</v>
      </c>
    </row>
    <row r="93" spans="1:1" x14ac:dyDescent="0.25">
      <c r="A93" s="47" t="s">
        <v>867</v>
      </c>
    </row>
    <row r="94" spans="1:1" x14ac:dyDescent="0.25">
      <c r="A94" s="47" t="s">
        <v>868</v>
      </c>
    </row>
    <row r="95" spans="1:1" x14ac:dyDescent="0.25">
      <c r="A95" s="47" t="s">
        <v>869</v>
      </c>
    </row>
    <row r="96" spans="1:1" x14ac:dyDescent="0.25">
      <c r="A96" s="47" t="s">
        <v>870</v>
      </c>
    </row>
    <row r="97" spans="1:1" x14ac:dyDescent="0.25">
      <c r="A97" s="47" t="s">
        <v>871</v>
      </c>
    </row>
    <row r="98" spans="1:1" x14ac:dyDescent="0.25">
      <c r="A98" s="47" t="s">
        <v>872</v>
      </c>
    </row>
    <row r="99" spans="1:1" x14ac:dyDescent="0.25">
      <c r="A99" s="47" t="s">
        <v>873</v>
      </c>
    </row>
    <row r="100" spans="1:1" x14ac:dyDescent="0.25">
      <c r="A100" s="47" t="s">
        <v>874</v>
      </c>
    </row>
    <row r="101" spans="1:1" x14ac:dyDescent="0.25">
      <c r="A101" s="47" t="s">
        <v>875</v>
      </c>
    </row>
    <row r="102" spans="1:1" x14ac:dyDescent="0.25">
      <c r="A102" s="47" t="s">
        <v>876</v>
      </c>
    </row>
    <row r="103" spans="1:1" x14ac:dyDescent="0.25">
      <c r="A103" s="47" t="s">
        <v>877</v>
      </c>
    </row>
    <row r="104" spans="1:1" x14ac:dyDescent="0.25">
      <c r="A104" s="47" t="s">
        <v>878</v>
      </c>
    </row>
    <row r="105" spans="1:1" x14ac:dyDescent="0.25">
      <c r="A105" s="47" t="s">
        <v>879</v>
      </c>
    </row>
    <row r="106" spans="1:1" x14ac:dyDescent="0.25">
      <c r="A106" s="47" t="s">
        <v>880</v>
      </c>
    </row>
    <row r="107" spans="1:1" x14ac:dyDescent="0.25">
      <c r="A107" s="47" t="s">
        <v>881</v>
      </c>
    </row>
    <row r="108" spans="1:1" x14ac:dyDescent="0.25">
      <c r="A108" s="47" t="s">
        <v>882</v>
      </c>
    </row>
    <row r="109" spans="1:1" x14ac:dyDescent="0.25">
      <c r="A109" s="47" t="s">
        <v>883</v>
      </c>
    </row>
    <row r="110" spans="1:1" x14ac:dyDescent="0.25">
      <c r="A110" s="47" t="s">
        <v>884</v>
      </c>
    </row>
    <row r="111" spans="1:1" x14ac:dyDescent="0.25">
      <c r="A111" s="47" t="s">
        <v>885</v>
      </c>
    </row>
    <row r="112" spans="1:1" x14ac:dyDescent="0.25">
      <c r="A112" s="47" t="s">
        <v>886</v>
      </c>
    </row>
    <row r="113" spans="1:1" x14ac:dyDescent="0.25">
      <c r="A113" s="47" t="s">
        <v>887</v>
      </c>
    </row>
    <row r="114" spans="1:1" x14ac:dyDescent="0.25">
      <c r="A114" s="47" t="s">
        <v>888</v>
      </c>
    </row>
    <row r="115" spans="1:1" x14ac:dyDescent="0.25">
      <c r="A115" s="47" t="s">
        <v>889</v>
      </c>
    </row>
    <row r="116" spans="1:1" x14ac:dyDescent="0.25">
      <c r="A116" s="47" t="s">
        <v>890</v>
      </c>
    </row>
    <row r="117" spans="1:1" x14ac:dyDescent="0.25">
      <c r="A117" s="47" t="s">
        <v>891</v>
      </c>
    </row>
    <row r="118" spans="1:1" x14ac:dyDescent="0.25">
      <c r="A118" s="47" t="s">
        <v>892</v>
      </c>
    </row>
    <row r="119" spans="1:1" x14ac:dyDescent="0.25">
      <c r="A119" s="47" t="s">
        <v>893</v>
      </c>
    </row>
    <row r="120" spans="1:1" x14ac:dyDescent="0.25">
      <c r="A120" s="47" t="s">
        <v>894</v>
      </c>
    </row>
    <row r="121" spans="1:1" x14ac:dyDescent="0.25">
      <c r="A121" s="47" t="s">
        <v>895</v>
      </c>
    </row>
    <row r="122" spans="1:1" x14ac:dyDescent="0.25">
      <c r="A122" s="47" t="s">
        <v>896</v>
      </c>
    </row>
    <row r="123" spans="1:1" x14ac:dyDescent="0.25">
      <c r="A123" s="47" t="s">
        <v>897</v>
      </c>
    </row>
    <row r="124" spans="1:1" x14ac:dyDescent="0.25">
      <c r="A124" s="47" t="s">
        <v>898</v>
      </c>
    </row>
    <row r="125" spans="1:1" x14ac:dyDescent="0.25">
      <c r="A125" s="47" t="s">
        <v>899</v>
      </c>
    </row>
    <row r="126" spans="1:1" x14ac:dyDescent="0.25">
      <c r="A126" s="47" t="s">
        <v>900</v>
      </c>
    </row>
    <row r="127" spans="1:1" x14ac:dyDescent="0.25">
      <c r="A127" s="47" t="s">
        <v>901</v>
      </c>
    </row>
    <row r="128" spans="1:1" x14ac:dyDescent="0.25">
      <c r="A128" s="47" t="s">
        <v>902</v>
      </c>
    </row>
    <row r="129" spans="1:1" x14ac:dyDescent="0.25">
      <c r="A129" s="47" t="s">
        <v>903</v>
      </c>
    </row>
    <row r="130" spans="1:1" x14ac:dyDescent="0.25">
      <c r="A130" s="47" t="s">
        <v>904</v>
      </c>
    </row>
    <row r="131" spans="1:1" x14ac:dyDescent="0.25">
      <c r="A131" s="47" t="s">
        <v>905</v>
      </c>
    </row>
    <row r="132" spans="1:1" x14ac:dyDescent="0.25">
      <c r="A132" s="47" t="s">
        <v>906</v>
      </c>
    </row>
    <row r="133" spans="1:1" x14ac:dyDescent="0.25">
      <c r="A133" s="47" t="s">
        <v>907</v>
      </c>
    </row>
    <row r="134" spans="1:1" x14ac:dyDescent="0.25">
      <c r="A134" s="47" t="s">
        <v>908</v>
      </c>
    </row>
    <row r="135" spans="1:1" x14ac:dyDescent="0.25">
      <c r="A135" s="47" t="s">
        <v>909</v>
      </c>
    </row>
    <row r="136" spans="1:1" x14ac:dyDescent="0.25">
      <c r="A136" s="47" t="s">
        <v>910</v>
      </c>
    </row>
    <row r="137" spans="1:1" x14ac:dyDescent="0.25">
      <c r="A137" s="47" t="s">
        <v>911</v>
      </c>
    </row>
    <row r="138" spans="1:1" x14ac:dyDescent="0.25">
      <c r="A138" s="47" t="s">
        <v>912</v>
      </c>
    </row>
    <row r="139" spans="1:1" x14ac:dyDescent="0.25">
      <c r="A139" s="47" t="s">
        <v>913</v>
      </c>
    </row>
    <row r="140" spans="1:1" x14ac:dyDescent="0.25">
      <c r="A140" s="47" t="s">
        <v>914</v>
      </c>
    </row>
    <row r="141" spans="1:1" x14ac:dyDescent="0.25">
      <c r="A141" s="47" t="s">
        <v>915</v>
      </c>
    </row>
    <row r="142" spans="1:1" x14ac:dyDescent="0.25">
      <c r="A142" s="47" t="s">
        <v>916</v>
      </c>
    </row>
    <row r="143" spans="1:1" x14ac:dyDescent="0.25">
      <c r="A143" s="47" t="s">
        <v>917</v>
      </c>
    </row>
    <row r="144" spans="1:1" x14ac:dyDescent="0.25">
      <c r="A144" s="47" t="s">
        <v>918</v>
      </c>
    </row>
    <row r="145" spans="1:1" x14ac:dyDescent="0.25">
      <c r="A145" s="47" t="s">
        <v>919</v>
      </c>
    </row>
    <row r="146" spans="1:1" x14ac:dyDescent="0.25">
      <c r="A146" s="47" t="s">
        <v>920</v>
      </c>
    </row>
    <row r="147" spans="1:1" x14ac:dyDescent="0.25">
      <c r="A147" s="47" t="s">
        <v>921</v>
      </c>
    </row>
    <row r="148" spans="1:1" x14ac:dyDescent="0.25">
      <c r="A148" s="47" t="s">
        <v>922</v>
      </c>
    </row>
    <row r="149" spans="1:1" x14ac:dyDescent="0.25">
      <c r="A149" s="47" t="s">
        <v>923</v>
      </c>
    </row>
    <row r="150" spans="1:1" x14ac:dyDescent="0.25">
      <c r="A150" s="47" t="s">
        <v>924</v>
      </c>
    </row>
    <row r="151" spans="1:1" x14ac:dyDescent="0.25">
      <c r="A151" s="47" t="s">
        <v>925</v>
      </c>
    </row>
    <row r="152" spans="1:1" x14ac:dyDescent="0.25">
      <c r="A152" s="47" t="s">
        <v>926</v>
      </c>
    </row>
    <row r="153" spans="1:1" x14ac:dyDescent="0.25">
      <c r="A153" s="47" t="s">
        <v>927</v>
      </c>
    </row>
    <row r="154" spans="1:1" x14ac:dyDescent="0.25">
      <c r="A154" s="47" t="s">
        <v>928</v>
      </c>
    </row>
    <row r="155" spans="1:1" x14ac:dyDescent="0.25">
      <c r="A155" s="47" t="s">
        <v>929</v>
      </c>
    </row>
    <row r="156" spans="1:1" x14ac:dyDescent="0.25">
      <c r="A156" s="47" t="s">
        <v>930</v>
      </c>
    </row>
    <row r="157" spans="1:1" x14ac:dyDescent="0.25">
      <c r="A157" s="47" t="s">
        <v>931</v>
      </c>
    </row>
    <row r="158" spans="1:1" x14ac:dyDescent="0.25">
      <c r="A158" s="47" t="s">
        <v>932</v>
      </c>
    </row>
    <row r="159" spans="1:1" x14ac:dyDescent="0.25">
      <c r="A159" s="47" t="s">
        <v>933</v>
      </c>
    </row>
    <row r="160" spans="1:1" x14ac:dyDescent="0.25">
      <c r="A160" s="47" t="s">
        <v>934</v>
      </c>
    </row>
    <row r="161" spans="1:1" x14ac:dyDescent="0.25">
      <c r="A161" s="47" t="s">
        <v>935</v>
      </c>
    </row>
    <row r="162" spans="1:1" x14ac:dyDescent="0.25">
      <c r="A162" s="47" t="s">
        <v>936</v>
      </c>
    </row>
    <row r="163" spans="1:1" x14ac:dyDescent="0.25">
      <c r="A163" s="47" t="s">
        <v>937</v>
      </c>
    </row>
    <row r="164" spans="1:1" x14ac:dyDescent="0.25">
      <c r="A164" s="47" t="s">
        <v>938</v>
      </c>
    </row>
    <row r="165" spans="1:1" x14ac:dyDescent="0.25">
      <c r="A165" s="47" t="s">
        <v>939</v>
      </c>
    </row>
    <row r="166" spans="1:1" x14ac:dyDescent="0.25">
      <c r="A166" s="47" t="s">
        <v>940</v>
      </c>
    </row>
    <row r="167" spans="1:1" x14ac:dyDescent="0.25">
      <c r="A167" s="47" t="s">
        <v>941</v>
      </c>
    </row>
    <row r="168" spans="1:1" x14ac:dyDescent="0.25">
      <c r="A168" s="47" t="s">
        <v>942</v>
      </c>
    </row>
    <row r="169" spans="1:1" x14ac:dyDescent="0.25">
      <c r="A169" s="47" t="s">
        <v>943</v>
      </c>
    </row>
    <row r="170" spans="1:1" x14ac:dyDescent="0.25">
      <c r="A170" s="47" t="s">
        <v>944</v>
      </c>
    </row>
    <row r="171" spans="1:1" x14ac:dyDescent="0.25">
      <c r="A171" s="47" t="s">
        <v>945</v>
      </c>
    </row>
    <row r="172" spans="1:1" x14ac:dyDescent="0.25">
      <c r="A172" s="47" t="s">
        <v>946</v>
      </c>
    </row>
    <row r="173" spans="1:1" x14ac:dyDescent="0.25">
      <c r="A173" s="47" t="s">
        <v>947</v>
      </c>
    </row>
    <row r="174" spans="1:1" x14ac:dyDescent="0.25">
      <c r="A174" s="47" t="s">
        <v>948</v>
      </c>
    </row>
    <row r="175" spans="1:1" x14ac:dyDescent="0.25">
      <c r="A175" s="47" t="s">
        <v>949</v>
      </c>
    </row>
    <row r="176" spans="1:1" x14ac:dyDescent="0.25">
      <c r="A176" s="47" t="s">
        <v>950</v>
      </c>
    </row>
    <row r="177" spans="1:1" x14ac:dyDescent="0.25">
      <c r="A177" s="47" t="s">
        <v>951</v>
      </c>
    </row>
    <row r="178" spans="1:1" x14ac:dyDescent="0.25">
      <c r="A178" s="47" t="s">
        <v>952</v>
      </c>
    </row>
    <row r="179" spans="1:1" x14ac:dyDescent="0.25">
      <c r="A179" s="47" t="s">
        <v>953</v>
      </c>
    </row>
    <row r="180" spans="1:1" x14ac:dyDescent="0.25">
      <c r="A180" s="47" t="s">
        <v>954</v>
      </c>
    </row>
    <row r="181" spans="1:1" x14ac:dyDescent="0.25">
      <c r="A181" s="47" t="s">
        <v>955</v>
      </c>
    </row>
    <row r="182" spans="1:1" x14ac:dyDescent="0.25">
      <c r="A182" s="47" t="s">
        <v>956</v>
      </c>
    </row>
    <row r="183" spans="1:1" x14ac:dyDescent="0.25">
      <c r="A183" s="47" t="s">
        <v>957</v>
      </c>
    </row>
    <row r="184" spans="1:1" x14ac:dyDescent="0.25">
      <c r="A184" s="47" t="s">
        <v>958</v>
      </c>
    </row>
    <row r="185" spans="1:1" x14ac:dyDescent="0.25">
      <c r="A185" s="47" t="s">
        <v>959</v>
      </c>
    </row>
    <row r="186" spans="1:1" x14ac:dyDescent="0.25">
      <c r="A186" s="47" t="s">
        <v>960</v>
      </c>
    </row>
    <row r="187" spans="1:1" x14ac:dyDescent="0.25">
      <c r="A187" s="47" t="s">
        <v>961</v>
      </c>
    </row>
    <row r="188" spans="1:1" x14ac:dyDescent="0.25">
      <c r="A188" s="47" t="s">
        <v>962</v>
      </c>
    </row>
    <row r="189" spans="1:1" x14ac:dyDescent="0.25">
      <c r="A189" s="47" t="s">
        <v>963</v>
      </c>
    </row>
    <row r="190" spans="1:1" x14ac:dyDescent="0.25">
      <c r="A190" s="47" t="s">
        <v>964</v>
      </c>
    </row>
    <row r="191" spans="1:1" x14ac:dyDescent="0.25">
      <c r="A191" s="47" t="s">
        <v>965</v>
      </c>
    </row>
    <row r="192" spans="1:1" x14ac:dyDescent="0.25">
      <c r="A192" s="47" t="s">
        <v>966</v>
      </c>
    </row>
    <row r="193" spans="1:1" x14ac:dyDescent="0.25">
      <c r="A193" s="47" t="s">
        <v>967</v>
      </c>
    </row>
    <row r="194" spans="1:1" x14ac:dyDescent="0.25">
      <c r="A194" s="47" t="s">
        <v>968</v>
      </c>
    </row>
    <row r="195" spans="1:1" x14ac:dyDescent="0.25">
      <c r="A195" s="47" t="s">
        <v>969</v>
      </c>
    </row>
    <row r="196" spans="1:1" x14ac:dyDescent="0.25">
      <c r="A196" s="47" t="s">
        <v>970</v>
      </c>
    </row>
    <row r="197" spans="1:1" x14ac:dyDescent="0.25">
      <c r="A197" s="47" t="s">
        <v>971</v>
      </c>
    </row>
    <row r="198" spans="1:1" x14ac:dyDescent="0.25">
      <c r="A198" s="47" t="s">
        <v>972</v>
      </c>
    </row>
    <row r="199" spans="1:1" x14ac:dyDescent="0.25">
      <c r="A199" s="47" t="s">
        <v>973</v>
      </c>
    </row>
    <row r="200" spans="1:1" x14ac:dyDescent="0.25">
      <c r="A200" s="47" t="s">
        <v>974</v>
      </c>
    </row>
    <row r="201" spans="1:1" x14ac:dyDescent="0.25">
      <c r="A201" s="47" t="s">
        <v>975</v>
      </c>
    </row>
    <row r="202" spans="1:1" x14ac:dyDescent="0.25">
      <c r="A202" s="47" t="s">
        <v>976</v>
      </c>
    </row>
    <row r="203" spans="1:1" x14ac:dyDescent="0.25">
      <c r="A203" s="47" t="s">
        <v>977</v>
      </c>
    </row>
    <row r="204" spans="1:1" x14ac:dyDescent="0.25">
      <c r="A204" s="47" t="s">
        <v>978</v>
      </c>
    </row>
    <row r="205" spans="1:1" x14ac:dyDescent="0.25">
      <c r="A205" s="47" t="s">
        <v>979</v>
      </c>
    </row>
    <row r="206" spans="1:1" x14ac:dyDescent="0.25">
      <c r="A206" s="47" t="s">
        <v>980</v>
      </c>
    </row>
    <row r="207" spans="1:1" x14ac:dyDescent="0.25">
      <c r="A207" s="47" t="s">
        <v>981</v>
      </c>
    </row>
    <row r="208" spans="1:1" x14ac:dyDescent="0.25">
      <c r="A208" s="47" t="s">
        <v>982</v>
      </c>
    </row>
    <row r="209" spans="1:1" x14ac:dyDescent="0.25">
      <c r="A209" s="47" t="s">
        <v>983</v>
      </c>
    </row>
    <row r="210" spans="1:1" x14ac:dyDescent="0.25">
      <c r="A210" s="47" t="s">
        <v>984</v>
      </c>
    </row>
    <row r="211" spans="1:1" x14ac:dyDescent="0.25">
      <c r="A211" s="47" t="s">
        <v>985</v>
      </c>
    </row>
    <row r="212" spans="1:1" x14ac:dyDescent="0.25">
      <c r="A212" s="47" t="s">
        <v>986</v>
      </c>
    </row>
    <row r="213" spans="1:1" x14ac:dyDescent="0.25">
      <c r="A213" s="47" t="s">
        <v>987</v>
      </c>
    </row>
    <row r="214" spans="1:1" x14ac:dyDescent="0.25">
      <c r="A214" s="47" t="s">
        <v>988</v>
      </c>
    </row>
    <row r="215" spans="1:1" x14ac:dyDescent="0.25">
      <c r="A215" s="47" t="s">
        <v>989</v>
      </c>
    </row>
    <row r="216" spans="1:1" x14ac:dyDescent="0.25">
      <c r="A216" s="47" t="s">
        <v>990</v>
      </c>
    </row>
    <row r="217" spans="1:1" x14ac:dyDescent="0.25">
      <c r="A217" s="47" t="s">
        <v>991</v>
      </c>
    </row>
    <row r="218" spans="1:1" x14ac:dyDescent="0.25">
      <c r="A218" s="47" t="s">
        <v>992</v>
      </c>
    </row>
    <row r="219" spans="1:1" x14ac:dyDescent="0.25">
      <c r="A219" s="47" t="s">
        <v>993</v>
      </c>
    </row>
    <row r="220" spans="1:1" x14ac:dyDescent="0.25">
      <c r="A220" s="47" t="s">
        <v>994</v>
      </c>
    </row>
    <row r="221" spans="1:1" x14ac:dyDescent="0.25">
      <c r="A221" s="47" t="s">
        <v>995</v>
      </c>
    </row>
    <row r="222" spans="1:1" x14ac:dyDescent="0.25">
      <c r="A222" s="47" t="s">
        <v>996</v>
      </c>
    </row>
    <row r="223" spans="1:1" x14ac:dyDescent="0.25">
      <c r="A223" s="47" t="s">
        <v>997</v>
      </c>
    </row>
    <row r="224" spans="1:1" x14ac:dyDescent="0.25">
      <c r="A224" s="47" t="s">
        <v>998</v>
      </c>
    </row>
    <row r="225" spans="1:1" x14ac:dyDescent="0.25">
      <c r="A225" s="47" t="s">
        <v>999</v>
      </c>
    </row>
    <row r="226" spans="1:1" x14ac:dyDescent="0.25">
      <c r="A226" s="47" t="s">
        <v>1000</v>
      </c>
    </row>
    <row r="227" spans="1:1" x14ac:dyDescent="0.25">
      <c r="A227" s="47" t="s">
        <v>1001</v>
      </c>
    </row>
    <row r="228" spans="1:1" x14ac:dyDescent="0.25">
      <c r="A228" s="47" t="s">
        <v>1002</v>
      </c>
    </row>
    <row r="229" spans="1:1" x14ac:dyDescent="0.25">
      <c r="A229" s="47" t="s">
        <v>1003</v>
      </c>
    </row>
    <row r="230" spans="1:1" x14ac:dyDescent="0.25">
      <c r="A230" s="47" t="s">
        <v>1004</v>
      </c>
    </row>
    <row r="231" spans="1:1" x14ac:dyDescent="0.25">
      <c r="A231" s="47" t="s">
        <v>1005</v>
      </c>
    </row>
    <row r="232" spans="1:1" x14ac:dyDescent="0.25">
      <c r="A232" s="47" t="s">
        <v>1006</v>
      </c>
    </row>
    <row r="233" spans="1:1" x14ac:dyDescent="0.25">
      <c r="A233" s="47" t="s">
        <v>1007</v>
      </c>
    </row>
    <row r="234" spans="1:1" x14ac:dyDescent="0.25">
      <c r="A234" s="47" t="s">
        <v>1008</v>
      </c>
    </row>
    <row r="235" spans="1:1" x14ac:dyDescent="0.25">
      <c r="A235" s="47" t="s">
        <v>1009</v>
      </c>
    </row>
    <row r="236" spans="1:1" x14ac:dyDescent="0.25">
      <c r="A236" s="47" t="s">
        <v>1010</v>
      </c>
    </row>
    <row r="237" spans="1:1" x14ac:dyDescent="0.25">
      <c r="A237" s="47" t="s">
        <v>1011</v>
      </c>
    </row>
    <row r="238" spans="1:1" x14ac:dyDescent="0.25">
      <c r="A238" s="47" t="s">
        <v>1012</v>
      </c>
    </row>
    <row r="239" spans="1:1" x14ac:dyDescent="0.25">
      <c r="A239" s="47" t="s">
        <v>1013</v>
      </c>
    </row>
    <row r="240" spans="1:1" x14ac:dyDescent="0.25">
      <c r="A240" s="47" t="s">
        <v>1014</v>
      </c>
    </row>
    <row r="241" spans="1:1" x14ac:dyDescent="0.25">
      <c r="A241" s="47" t="s">
        <v>1015</v>
      </c>
    </row>
    <row r="242" spans="1:1" x14ac:dyDescent="0.25">
      <c r="A242" s="47" t="s">
        <v>1016</v>
      </c>
    </row>
    <row r="243" spans="1:1" x14ac:dyDescent="0.25">
      <c r="A243" s="47" t="s">
        <v>1017</v>
      </c>
    </row>
    <row r="244" spans="1:1" x14ac:dyDescent="0.25">
      <c r="A244" s="47" t="s">
        <v>1018</v>
      </c>
    </row>
    <row r="245" spans="1:1" x14ac:dyDescent="0.25">
      <c r="A245" s="47" t="s">
        <v>1019</v>
      </c>
    </row>
    <row r="246" spans="1:1" x14ac:dyDescent="0.25">
      <c r="A246" s="47" t="s">
        <v>1020</v>
      </c>
    </row>
    <row r="247" spans="1:1" x14ac:dyDescent="0.25">
      <c r="A247" s="47" t="s">
        <v>1021</v>
      </c>
    </row>
    <row r="248" spans="1:1" x14ac:dyDescent="0.25">
      <c r="A248" s="47" t="s">
        <v>1022</v>
      </c>
    </row>
    <row r="249" spans="1:1" x14ac:dyDescent="0.25">
      <c r="A249" s="47" t="s">
        <v>1023</v>
      </c>
    </row>
    <row r="250" spans="1:1" x14ac:dyDescent="0.25">
      <c r="A250" s="47" t="s">
        <v>1024</v>
      </c>
    </row>
    <row r="251" spans="1:1" x14ac:dyDescent="0.25">
      <c r="A251" s="47" t="s">
        <v>1025</v>
      </c>
    </row>
    <row r="252" spans="1:1" x14ac:dyDescent="0.25">
      <c r="A252" s="47" t="s">
        <v>1026</v>
      </c>
    </row>
    <row r="253" spans="1:1" x14ac:dyDescent="0.25">
      <c r="A253" s="47" t="s">
        <v>1027</v>
      </c>
    </row>
    <row r="254" spans="1:1" x14ac:dyDescent="0.25">
      <c r="A254" s="47" t="s">
        <v>1028</v>
      </c>
    </row>
    <row r="255" spans="1:1" x14ac:dyDescent="0.25">
      <c r="A255" s="47" t="s">
        <v>1029</v>
      </c>
    </row>
    <row r="256" spans="1:1" x14ac:dyDescent="0.25">
      <c r="A256" s="47" t="s">
        <v>1030</v>
      </c>
    </row>
    <row r="257" spans="1:1" x14ac:dyDescent="0.25">
      <c r="A257" s="47" t="s">
        <v>1031</v>
      </c>
    </row>
    <row r="258" spans="1:1" x14ac:dyDescent="0.25">
      <c r="A258" s="47" t="s">
        <v>1032</v>
      </c>
    </row>
    <row r="259" spans="1:1" x14ac:dyDescent="0.25">
      <c r="A259" s="47" t="s">
        <v>1033</v>
      </c>
    </row>
    <row r="260" spans="1:1" x14ac:dyDescent="0.25">
      <c r="A260" s="47" t="s">
        <v>1034</v>
      </c>
    </row>
    <row r="261" spans="1:1" x14ac:dyDescent="0.25">
      <c r="A261" s="47" t="s">
        <v>1035</v>
      </c>
    </row>
    <row r="262" spans="1:1" x14ac:dyDescent="0.25">
      <c r="A262" s="47" t="s">
        <v>1036</v>
      </c>
    </row>
    <row r="263" spans="1:1" x14ac:dyDescent="0.25">
      <c r="A263" s="47" t="s">
        <v>1037</v>
      </c>
    </row>
    <row r="264" spans="1:1" x14ac:dyDescent="0.25">
      <c r="A264" s="47" t="s">
        <v>1038</v>
      </c>
    </row>
    <row r="265" spans="1:1" x14ac:dyDescent="0.25">
      <c r="A265" s="47" t="s">
        <v>1039</v>
      </c>
    </row>
    <row r="266" spans="1:1" x14ac:dyDescent="0.25">
      <c r="A266" s="47" t="s">
        <v>1040</v>
      </c>
    </row>
    <row r="267" spans="1:1" x14ac:dyDescent="0.25">
      <c r="A267" s="47" t="s">
        <v>1041</v>
      </c>
    </row>
    <row r="268" spans="1:1" x14ac:dyDescent="0.25">
      <c r="A268" s="47" t="s">
        <v>1042</v>
      </c>
    </row>
    <row r="269" spans="1:1" x14ac:dyDescent="0.25">
      <c r="A269" s="47" t="s">
        <v>1043</v>
      </c>
    </row>
    <row r="270" spans="1:1" x14ac:dyDescent="0.25">
      <c r="A270" s="47" t="s">
        <v>1044</v>
      </c>
    </row>
    <row r="271" spans="1:1" x14ac:dyDescent="0.25">
      <c r="A271" s="47" t="s">
        <v>1045</v>
      </c>
    </row>
    <row r="272" spans="1:1" x14ac:dyDescent="0.25">
      <c r="A272" s="47" t="s">
        <v>1046</v>
      </c>
    </row>
    <row r="273" spans="1:1" x14ac:dyDescent="0.25">
      <c r="A273" s="47" t="s">
        <v>1047</v>
      </c>
    </row>
    <row r="274" spans="1:1" x14ac:dyDescent="0.25">
      <c r="A274" s="47" t="s">
        <v>1048</v>
      </c>
    </row>
    <row r="275" spans="1:1" x14ac:dyDescent="0.25">
      <c r="A275" s="47" t="s">
        <v>1049</v>
      </c>
    </row>
    <row r="276" spans="1:1" x14ac:dyDescent="0.25">
      <c r="A276" s="47" t="s">
        <v>1050</v>
      </c>
    </row>
    <row r="277" spans="1:1" x14ac:dyDescent="0.25">
      <c r="A277" s="47" t="s">
        <v>1051</v>
      </c>
    </row>
    <row r="278" spans="1:1" x14ac:dyDescent="0.25">
      <c r="A278" s="47" t="s">
        <v>1052</v>
      </c>
    </row>
    <row r="279" spans="1:1" x14ac:dyDescent="0.25">
      <c r="A279" s="47" t="s">
        <v>1053</v>
      </c>
    </row>
    <row r="280" spans="1:1" x14ac:dyDescent="0.25">
      <c r="A280" s="47" t="s">
        <v>1054</v>
      </c>
    </row>
    <row r="281" spans="1:1" x14ac:dyDescent="0.25">
      <c r="A281" s="47" t="s">
        <v>1055</v>
      </c>
    </row>
    <row r="282" spans="1:1" x14ac:dyDescent="0.25">
      <c r="A282" s="47" t="s">
        <v>1056</v>
      </c>
    </row>
    <row r="283" spans="1:1" x14ac:dyDescent="0.25">
      <c r="A283" s="47" t="s">
        <v>1057</v>
      </c>
    </row>
    <row r="284" spans="1:1" x14ac:dyDescent="0.25">
      <c r="A284" s="47" t="s">
        <v>1058</v>
      </c>
    </row>
    <row r="285" spans="1:1" x14ac:dyDescent="0.25">
      <c r="A285" s="47" t="s">
        <v>1059</v>
      </c>
    </row>
    <row r="286" spans="1:1" x14ac:dyDescent="0.25">
      <c r="A286" s="47" t="s">
        <v>1060</v>
      </c>
    </row>
    <row r="287" spans="1:1" x14ac:dyDescent="0.25">
      <c r="A287" s="47" t="s">
        <v>1061</v>
      </c>
    </row>
    <row r="288" spans="1:1" x14ac:dyDescent="0.25">
      <c r="A288" s="47" t="s">
        <v>1062</v>
      </c>
    </row>
    <row r="289" spans="1:1" x14ac:dyDescent="0.25">
      <c r="A289" s="47" t="s">
        <v>1063</v>
      </c>
    </row>
    <row r="290" spans="1:1" x14ac:dyDescent="0.25">
      <c r="A290" s="47" t="s">
        <v>1064</v>
      </c>
    </row>
    <row r="291" spans="1:1" x14ac:dyDescent="0.25">
      <c r="A291" s="47" t="s">
        <v>1065</v>
      </c>
    </row>
    <row r="292" spans="1:1" x14ac:dyDescent="0.25">
      <c r="A292" s="47" t="s">
        <v>1066</v>
      </c>
    </row>
    <row r="293" spans="1:1" x14ac:dyDescent="0.25">
      <c r="A293" s="47" t="s">
        <v>1067</v>
      </c>
    </row>
    <row r="294" spans="1:1" x14ac:dyDescent="0.25">
      <c r="A294" s="47" t="s">
        <v>1068</v>
      </c>
    </row>
    <row r="295" spans="1:1" x14ac:dyDescent="0.25">
      <c r="A295" s="47" t="s">
        <v>1069</v>
      </c>
    </row>
    <row r="296" spans="1:1" x14ac:dyDescent="0.25">
      <c r="A296" s="47" t="s">
        <v>1070</v>
      </c>
    </row>
    <row r="297" spans="1:1" x14ac:dyDescent="0.25">
      <c r="A297" s="47" t="s">
        <v>1071</v>
      </c>
    </row>
    <row r="298" spans="1:1" x14ac:dyDescent="0.25">
      <c r="A298" s="47" t="s">
        <v>1072</v>
      </c>
    </row>
    <row r="299" spans="1:1" x14ac:dyDescent="0.25">
      <c r="A299" s="47" t="s">
        <v>1073</v>
      </c>
    </row>
    <row r="300" spans="1:1" x14ac:dyDescent="0.25">
      <c r="A300" s="47" t="s">
        <v>1074</v>
      </c>
    </row>
    <row r="301" spans="1:1" x14ac:dyDescent="0.25">
      <c r="A301" s="47" t="s">
        <v>1075</v>
      </c>
    </row>
    <row r="302" spans="1:1" x14ac:dyDescent="0.25">
      <c r="A302" s="47" t="s">
        <v>1076</v>
      </c>
    </row>
    <row r="303" spans="1:1" x14ac:dyDescent="0.25">
      <c r="A303" s="47" t="s">
        <v>1077</v>
      </c>
    </row>
    <row r="304" spans="1:1" x14ac:dyDescent="0.25">
      <c r="A304" s="47" t="s">
        <v>1078</v>
      </c>
    </row>
    <row r="305" spans="1:1" x14ac:dyDescent="0.25">
      <c r="A305" s="47" t="s">
        <v>1079</v>
      </c>
    </row>
    <row r="306" spans="1:1" x14ac:dyDescent="0.25">
      <c r="A306" s="47" t="s">
        <v>1080</v>
      </c>
    </row>
    <row r="307" spans="1:1" x14ac:dyDescent="0.25">
      <c r="A307" s="47" t="s">
        <v>1081</v>
      </c>
    </row>
    <row r="308" spans="1:1" x14ac:dyDescent="0.25">
      <c r="A308" s="47" t="s">
        <v>1082</v>
      </c>
    </row>
    <row r="309" spans="1:1" x14ac:dyDescent="0.25">
      <c r="A309" s="47" t="s">
        <v>1083</v>
      </c>
    </row>
    <row r="310" spans="1:1" x14ac:dyDescent="0.25">
      <c r="A310" s="47" t="s">
        <v>1084</v>
      </c>
    </row>
    <row r="311" spans="1:1" x14ac:dyDescent="0.25">
      <c r="A311" s="47" t="s">
        <v>1085</v>
      </c>
    </row>
    <row r="312" spans="1:1" x14ac:dyDescent="0.25">
      <c r="A312" s="47" t="s">
        <v>1086</v>
      </c>
    </row>
    <row r="313" spans="1:1" x14ac:dyDescent="0.25">
      <c r="A313" s="47" t="s">
        <v>1087</v>
      </c>
    </row>
    <row r="314" spans="1:1" x14ac:dyDescent="0.25">
      <c r="A314" s="47" t="s">
        <v>1088</v>
      </c>
    </row>
    <row r="315" spans="1:1" x14ac:dyDescent="0.25">
      <c r="A315" s="47" t="s">
        <v>1089</v>
      </c>
    </row>
    <row r="316" spans="1:1" x14ac:dyDescent="0.25">
      <c r="A316" s="47" t="s">
        <v>1090</v>
      </c>
    </row>
    <row r="317" spans="1:1" x14ac:dyDescent="0.25">
      <c r="A317" s="47" t="s">
        <v>1091</v>
      </c>
    </row>
    <row r="318" spans="1:1" x14ac:dyDescent="0.25">
      <c r="A318" s="47" t="s">
        <v>1092</v>
      </c>
    </row>
    <row r="319" spans="1:1" x14ac:dyDescent="0.25">
      <c r="A319" s="47" t="s">
        <v>1093</v>
      </c>
    </row>
    <row r="320" spans="1:1" x14ac:dyDescent="0.25">
      <c r="A320" s="47" t="s">
        <v>1094</v>
      </c>
    </row>
    <row r="321" spans="1:1" x14ac:dyDescent="0.25">
      <c r="A321" s="47" t="s">
        <v>1095</v>
      </c>
    </row>
    <row r="322" spans="1:1" x14ac:dyDescent="0.25">
      <c r="A322" s="47" t="s">
        <v>1096</v>
      </c>
    </row>
    <row r="323" spans="1:1" x14ac:dyDescent="0.25">
      <c r="A323" s="47" t="s">
        <v>1097</v>
      </c>
    </row>
    <row r="324" spans="1:1" x14ac:dyDescent="0.25">
      <c r="A324" s="47" t="s">
        <v>1098</v>
      </c>
    </row>
    <row r="325" spans="1:1" x14ac:dyDescent="0.25">
      <c r="A325" s="47" t="s">
        <v>1099</v>
      </c>
    </row>
    <row r="326" spans="1:1" x14ac:dyDescent="0.25">
      <c r="A326" s="47" t="s">
        <v>1100</v>
      </c>
    </row>
    <row r="327" spans="1:1" x14ac:dyDescent="0.25">
      <c r="A327" s="47" t="s">
        <v>1101</v>
      </c>
    </row>
    <row r="328" spans="1:1" x14ac:dyDescent="0.25">
      <c r="A328" s="47" t="s">
        <v>1102</v>
      </c>
    </row>
    <row r="329" spans="1:1" x14ac:dyDescent="0.25">
      <c r="A329" s="47" t="s">
        <v>1103</v>
      </c>
    </row>
    <row r="330" spans="1:1" x14ac:dyDescent="0.25">
      <c r="A330" s="47" t="s">
        <v>1104</v>
      </c>
    </row>
    <row r="331" spans="1:1" x14ac:dyDescent="0.25">
      <c r="A331" s="47" t="s">
        <v>1105</v>
      </c>
    </row>
    <row r="332" spans="1:1" x14ac:dyDescent="0.25">
      <c r="A332" s="47" t="s">
        <v>1106</v>
      </c>
    </row>
    <row r="333" spans="1:1" x14ac:dyDescent="0.25">
      <c r="A333" s="47" t="s">
        <v>1107</v>
      </c>
    </row>
    <row r="334" spans="1:1" x14ac:dyDescent="0.25">
      <c r="A334" s="47" t="s">
        <v>1108</v>
      </c>
    </row>
    <row r="335" spans="1:1" x14ac:dyDescent="0.25">
      <c r="A335" s="47" t="s">
        <v>1109</v>
      </c>
    </row>
    <row r="336" spans="1:1" x14ac:dyDescent="0.25">
      <c r="A336" s="47" t="s">
        <v>1110</v>
      </c>
    </row>
    <row r="337" spans="1:1" x14ac:dyDescent="0.25">
      <c r="A337" s="47" t="s">
        <v>1111</v>
      </c>
    </row>
    <row r="338" spans="1:1" x14ac:dyDescent="0.25">
      <c r="A338" s="47" t="s">
        <v>1112</v>
      </c>
    </row>
    <row r="339" spans="1:1" x14ac:dyDescent="0.25">
      <c r="A339" s="47" t="s">
        <v>1113</v>
      </c>
    </row>
    <row r="340" spans="1:1" x14ac:dyDescent="0.25">
      <c r="A340" s="47" t="s">
        <v>1114</v>
      </c>
    </row>
    <row r="341" spans="1:1" x14ac:dyDescent="0.25">
      <c r="A341" s="47" t="s">
        <v>1115</v>
      </c>
    </row>
    <row r="342" spans="1:1" x14ac:dyDescent="0.25">
      <c r="A342" s="47" t="s">
        <v>1116</v>
      </c>
    </row>
    <row r="343" spans="1:1" x14ac:dyDescent="0.25">
      <c r="A343" s="47" t="s">
        <v>1117</v>
      </c>
    </row>
    <row r="344" spans="1:1" x14ac:dyDescent="0.25">
      <c r="A344" s="47" t="s">
        <v>1118</v>
      </c>
    </row>
    <row r="345" spans="1:1" x14ac:dyDescent="0.25">
      <c r="A345" s="47" t="s">
        <v>1119</v>
      </c>
    </row>
    <row r="346" spans="1:1" x14ac:dyDescent="0.25">
      <c r="A346" s="47" t="s">
        <v>1120</v>
      </c>
    </row>
    <row r="347" spans="1:1" x14ac:dyDescent="0.25">
      <c r="A347" s="47" t="s">
        <v>1121</v>
      </c>
    </row>
    <row r="348" spans="1:1" x14ac:dyDescent="0.25">
      <c r="A348" s="47" t="s">
        <v>1122</v>
      </c>
    </row>
    <row r="349" spans="1:1" x14ac:dyDescent="0.25">
      <c r="A349" s="47" t="s">
        <v>1123</v>
      </c>
    </row>
    <row r="350" spans="1:1" x14ac:dyDescent="0.25">
      <c r="A350" s="47" t="s">
        <v>1124</v>
      </c>
    </row>
    <row r="351" spans="1:1" x14ac:dyDescent="0.25">
      <c r="A351" s="47" t="s">
        <v>1125</v>
      </c>
    </row>
    <row r="352" spans="1:1" x14ac:dyDescent="0.25">
      <c r="A352" s="47" t="s">
        <v>1126</v>
      </c>
    </row>
    <row r="353" spans="1:1" x14ac:dyDescent="0.25">
      <c r="A353" s="47" t="s">
        <v>1127</v>
      </c>
    </row>
    <row r="354" spans="1:1" x14ac:dyDescent="0.25">
      <c r="A354" s="47" t="s">
        <v>1128</v>
      </c>
    </row>
    <row r="355" spans="1:1" x14ac:dyDescent="0.25">
      <c r="A355" s="47" t="s">
        <v>1129</v>
      </c>
    </row>
    <row r="356" spans="1:1" x14ac:dyDescent="0.25">
      <c r="A356" s="47" t="s">
        <v>1130</v>
      </c>
    </row>
    <row r="357" spans="1:1" x14ac:dyDescent="0.25">
      <c r="A357" s="47" t="s">
        <v>1131</v>
      </c>
    </row>
    <row r="358" spans="1:1" x14ac:dyDescent="0.25">
      <c r="A358" s="47" t="s">
        <v>1132</v>
      </c>
    </row>
    <row r="359" spans="1:1" x14ac:dyDescent="0.25">
      <c r="A359" s="47" t="s">
        <v>1133</v>
      </c>
    </row>
    <row r="360" spans="1:1" x14ac:dyDescent="0.25">
      <c r="A360" s="47" t="s">
        <v>1134</v>
      </c>
    </row>
    <row r="361" spans="1:1" x14ac:dyDescent="0.25">
      <c r="A361" s="47" t="s">
        <v>1135</v>
      </c>
    </row>
    <row r="362" spans="1:1" x14ac:dyDescent="0.25">
      <c r="A362" s="47" t="s">
        <v>1136</v>
      </c>
    </row>
    <row r="363" spans="1:1" x14ac:dyDescent="0.25">
      <c r="A363" s="47" t="s">
        <v>1137</v>
      </c>
    </row>
    <row r="364" spans="1:1" x14ac:dyDescent="0.25">
      <c r="A364" s="47" t="s">
        <v>1138</v>
      </c>
    </row>
    <row r="365" spans="1:1" x14ac:dyDescent="0.25">
      <c r="A365" s="47" t="s">
        <v>1139</v>
      </c>
    </row>
    <row r="366" spans="1:1" x14ac:dyDescent="0.25">
      <c r="A366" s="47" t="s">
        <v>1140</v>
      </c>
    </row>
    <row r="367" spans="1:1" x14ac:dyDescent="0.25">
      <c r="A367" s="47" t="s">
        <v>1141</v>
      </c>
    </row>
    <row r="368" spans="1:1" x14ac:dyDescent="0.25">
      <c r="A368" s="47" t="s">
        <v>1142</v>
      </c>
    </row>
    <row r="369" spans="1:1" x14ac:dyDescent="0.25">
      <c r="A369" s="47" t="s">
        <v>1143</v>
      </c>
    </row>
    <row r="370" spans="1:1" x14ac:dyDescent="0.25">
      <c r="A370" s="47" t="s">
        <v>1144</v>
      </c>
    </row>
    <row r="371" spans="1:1" x14ac:dyDescent="0.25">
      <c r="A371" s="47" t="s">
        <v>1145</v>
      </c>
    </row>
    <row r="372" spans="1:1" x14ac:dyDescent="0.25">
      <c r="A372" s="47" t="s">
        <v>1146</v>
      </c>
    </row>
    <row r="373" spans="1:1" x14ac:dyDescent="0.25">
      <c r="A373" s="47" t="s">
        <v>1147</v>
      </c>
    </row>
    <row r="374" spans="1:1" x14ac:dyDescent="0.25">
      <c r="A374" s="47" t="s">
        <v>1148</v>
      </c>
    </row>
    <row r="375" spans="1:1" x14ac:dyDescent="0.25">
      <c r="A375" s="47" t="s">
        <v>1149</v>
      </c>
    </row>
    <row r="376" spans="1:1" x14ac:dyDescent="0.25">
      <c r="A376" s="47" t="s">
        <v>1150</v>
      </c>
    </row>
    <row r="377" spans="1:1" x14ac:dyDescent="0.25">
      <c r="A377" s="47" t="s">
        <v>1151</v>
      </c>
    </row>
    <row r="378" spans="1:1" x14ac:dyDescent="0.25">
      <c r="A378" s="47" t="s">
        <v>1152</v>
      </c>
    </row>
    <row r="379" spans="1:1" x14ac:dyDescent="0.25">
      <c r="A379" s="47" t="s">
        <v>1153</v>
      </c>
    </row>
    <row r="380" spans="1:1" x14ac:dyDescent="0.25">
      <c r="A380" s="47" t="s">
        <v>1154</v>
      </c>
    </row>
    <row r="381" spans="1:1" x14ac:dyDescent="0.25">
      <c r="A381" s="47" t="s">
        <v>1155</v>
      </c>
    </row>
    <row r="382" spans="1:1" x14ac:dyDescent="0.25">
      <c r="A382" s="47" t="s">
        <v>1156</v>
      </c>
    </row>
    <row r="383" spans="1:1" x14ac:dyDescent="0.25">
      <c r="A383" s="47" t="s">
        <v>1157</v>
      </c>
    </row>
    <row r="384" spans="1:1" x14ac:dyDescent="0.25">
      <c r="A384" s="47" t="s">
        <v>1158</v>
      </c>
    </row>
    <row r="385" spans="1:1" x14ac:dyDescent="0.25">
      <c r="A385" s="47" t="s">
        <v>1159</v>
      </c>
    </row>
    <row r="386" spans="1:1" x14ac:dyDescent="0.25">
      <c r="A386" s="47" t="s">
        <v>1160</v>
      </c>
    </row>
    <row r="387" spans="1:1" x14ac:dyDescent="0.25">
      <c r="A387" s="47" t="s">
        <v>1161</v>
      </c>
    </row>
    <row r="388" spans="1:1" x14ac:dyDescent="0.25">
      <c r="A388" s="47" t="s">
        <v>1162</v>
      </c>
    </row>
    <row r="389" spans="1:1" x14ac:dyDescent="0.25">
      <c r="A389" s="47" t="s">
        <v>1163</v>
      </c>
    </row>
    <row r="390" spans="1:1" x14ac:dyDescent="0.25">
      <c r="A390" s="47" t="s">
        <v>1164</v>
      </c>
    </row>
    <row r="391" spans="1:1" x14ac:dyDescent="0.25">
      <c r="A391" s="47" t="s">
        <v>1165</v>
      </c>
    </row>
    <row r="392" spans="1:1" x14ac:dyDescent="0.25">
      <c r="A392" s="47" t="s">
        <v>1166</v>
      </c>
    </row>
    <row r="393" spans="1:1" x14ac:dyDescent="0.25">
      <c r="A393" s="47" t="s">
        <v>1167</v>
      </c>
    </row>
    <row r="394" spans="1:1" x14ac:dyDescent="0.25">
      <c r="A394" s="47" t="s">
        <v>1168</v>
      </c>
    </row>
    <row r="395" spans="1:1" x14ac:dyDescent="0.25">
      <c r="A395" s="47" t="s">
        <v>1169</v>
      </c>
    </row>
    <row r="396" spans="1:1" x14ac:dyDescent="0.25">
      <c r="A396" s="47" t="s">
        <v>1170</v>
      </c>
    </row>
    <row r="397" spans="1:1" x14ac:dyDescent="0.25">
      <c r="A397" s="47" t="s">
        <v>1171</v>
      </c>
    </row>
    <row r="398" spans="1:1" x14ac:dyDescent="0.25">
      <c r="A398" s="47" t="s">
        <v>1172</v>
      </c>
    </row>
    <row r="399" spans="1:1" x14ac:dyDescent="0.25">
      <c r="A399" s="47" t="s">
        <v>1173</v>
      </c>
    </row>
    <row r="400" spans="1:1" x14ac:dyDescent="0.25">
      <c r="A400" s="47" t="s">
        <v>1174</v>
      </c>
    </row>
    <row r="401" spans="1:1" x14ac:dyDescent="0.25">
      <c r="A401" s="47" t="s">
        <v>1175</v>
      </c>
    </row>
    <row r="402" spans="1:1" x14ac:dyDescent="0.25">
      <c r="A402" s="47" t="s">
        <v>1176</v>
      </c>
    </row>
    <row r="403" spans="1:1" x14ac:dyDescent="0.25">
      <c r="A403" s="47" t="s">
        <v>1177</v>
      </c>
    </row>
    <row r="404" spans="1:1" x14ac:dyDescent="0.25">
      <c r="A404" s="47" t="s">
        <v>1178</v>
      </c>
    </row>
    <row r="405" spans="1:1" x14ac:dyDescent="0.25">
      <c r="A405" s="47" t="s">
        <v>1179</v>
      </c>
    </row>
    <row r="406" spans="1:1" x14ac:dyDescent="0.25">
      <c r="A406" s="47" t="s">
        <v>1180</v>
      </c>
    </row>
    <row r="407" spans="1:1" x14ac:dyDescent="0.25">
      <c r="A407" s="47" t="s">
        <v>1181</v>
      </c>
    </row>
    <row r="408" spans="1:1" x14ac:dyDescent="0.25">
      <c r="A408" s="47" t="s">
        <v>1182</v>
      </c>
    </row>
    <row r="409" spans="1:1" x14ac:dyDescent="0.25">
      <c r="A409" s="47" t="s">
        <v>1183</v>
      </c>
    </row>
    <row r="410" spans="1:1" x14ac:dyDescent="0.25">
      <c r="A410" s="47" t="s">
        <v>1184</v>
      </c>
    </row>
    <row r="411" spans="1:1" x14ac:dyDescent="0.25">
      <c r="A411" s="47" t="s">
        <v>1185</v>
      </c>
    </row>
    <row r="412" spans="1:1" x14ac:dyDescent="0.25">
      <c r="A412" s="47" t="s">
        <v>1186</v>
      </c>
    </row>
    <row r="413" spans="1:1" x14ac:dyDescent="0.25">
      <c r="A413" s="47" t="s">
        <v>1187</v>
      </c>
    </row>
    <row r="414" spans="1:1" x14ac:dyDescent="0.25">
      <c r="A414" s="47" t="s">
        <v>1188</v>
      </c>
    </row>
    <row r="415" spans="1:1" x14ac:dyDescent="0.25">
      <c r="A415" s="47" t="s">
        <v>1189</v>
      </c>
    </row>
    <row r="416" spans="1:1" x14ac:dyDescent="0.25">
      <c r="A416" s="47" t="s">
        <v>1190</v>
      </c>
    </row>
    <row r="417" spans="1:1" x14ac:dyDescent="0.25">
      <c r="A417" s="47" t="s">
        <v>1191</v>
      </c>
    </row>
    <row r="418" spans="1:1" x14ac:dyDescent="0.25">
      <c r="A418" s="47" t="s">
        <v>1192</v>
      </c>
    </row>
    <row r="419" spans="1:1" x14ac:dyDescent="0.25">
      <c r="A419" s="47" t="s">
        <v>1193</v>
      </c>
    </row>
    <row r="420" spans="1:1" x14ac:dyDescent="0.25">
      <c r="A420" s="47" t="s">
        <v>1194</v>
      </c>
    </row>
    <row r="421" spans="1:1" x14ac:dyDescent="0.25">
      <c r="A421" s="47" t="s">
        <v>1195</v>
      </c>
    </row>
    <row r="422" spans="1:1" x14ac:dyDescent="0.25">
      <c r="A422" s="47" t="s">
        <v>1196</v>
      </c>
    </row>
    <row r="423" spans="1:1" x14ac:dyDescent="0.25">
      <c r="A423" s="47" t="s">
        <v>1197</v>
      </c>
    </row>
    <row r="424" spans="1:1" x14ac:dyDescent="0.25">
      <c r="A424" s="47" t="s">
        <v>1198</v>
      </c>
    </row>
    <row r="425" spans="1:1" x14ac:dyDescent="0.25">
      <c r="A425" s="47" t="s">
        <v>1199</v>
      </c>
    </row>
    <row r="426" spans="1:1" x14ac:dyDescent="0.25">
      <c r="A426" s="47" t="s">
        <v>1200</v>
      </c>
    </row>
    <row r="427" spans="1:1" x14ac:dyDescent="0.25">
      <c r="A427" s="47" t="s">
        <v>1201</v>
      </c>
    </row>
    <row r="428" spans="1:1" x14ac:dyDescent="0.25">
      <c r="A428" s="47" t="s">
        <v>1202</v>
      </c>
    </row>
    <row r="429" spans="1:1" x14ac:dyDescent="0.25">
      <c r="A429" s="47" t="s">
        <v>1203</v>
      </c>
    </row>
    <row r="430" spans="1:1" x14ac:dyDescent="0.25">
      <c r="A430" s="47" t="s">
        <v>1204</v>
      </c>
    </row>
    <row r="431" spans="1:1" x14ac:dyDescent="0.25">
      <c r="A431" s="47" t="s">
        <v>1205</v>
      </c>
    </row>
    <row r="432" spans="1:1" x14ac:dyDescent="0.25">
      <c r="A432" s="47" t="s">
        <v>1206</v>
      </c>
    </row>
    <row r="433" spans="1:1" x14ac:dyDescent="0.25">
      <c r="A433" s="47" t="s">
        <v>1207</v>
      </c>
    </row>
    <row r="434" spans="1:1" x14ac:dyDescent="0.25">
      <c r="A434" s="47" t="s">
        <v>1208</v>
      </c>
    </row>
    <row r="435" spans="1:1" x14ac:dyDescent="0.25">
      <c r="A435" s="47" t="s">
        <v>1209</v>
      </c>
    </row>
    <row r="436" spans="1:1" x14ac:dyDescent="0.25">
      <c r="A436" s="47" t="s">
        <v>1210</v>
      </c>
    </row>
    <row r="437" spans="1:1" x14ac:dyDescent="0.25">
      <c r="A437" s="47" t="s">
        <v>1211</v>
      </c>
    </row>
    <row r="438" spans="1:1" x14ac:dyDescent="0.25">
      <c r="A438" s="47" t="s">
        <v>1212</v>
      </c>
    </row>
    <row r="439" spans="1:1" x14ac:dyDescent="0.25">
      <c r="A439" s="47" t="s">
        <v>1213</v>
      </c>
    </row>
    <row r="440" spans="1:1" x14ac:dyDescent="0.25">
      <c r="A440" s="47" t="s">
        <v>1214</v>
      </c>
    </row>
    <row r="441" spans="1:1" x14ac:dyDescent="0.25">
      <c r="A441" s="47" t="s">
        <v>1215</v>
      </c>
    </row>
    <row r="442" spans="1:1" x14ac:dyDescent="0.25">
      <c r="A442" s="47" t="s">
        <v>1216</v>
      </c>
    </row>
    <row r="443" spans="1:1" x14ac:dyDescent="0.25">
      <c r="A443" s="47" t="s">
        <v>1217</v>
      </c>
    </row>
    <row r="444" spans="1:1" x14ac:dyDescent="0.25">
      <c r="A444" s="47" t="s">
        <v>1218</v>
      </c>
    </row>
    <row r="445" spans="1:1" x14ac:dyDescent="0.25">
      <c r="A445" s="47" t="s">
        <v>0</v>
      </c>
    </row>
    <row r="446" spans="1:1" x14ac:dyDescent="0.25">
      <c r="A446" s="47" t="s">
        <v>1</v>
      </c>
    </row>
    <row r="447" spans="1:1" x14ac:dyDescent="0.25">
      <c r="A447" s="47" t="s">
        <v>2</v>
      </c>
    </row>
    <row r="448" spans="1:1" x14ac:dyDescent="0.25">
      <c r="A448" s="47" t="s">
        <v>3</v>
      </c>
    </row>
    <row r="449" spans="1:1" x14ac:dyDescent="0.25">
      <c r="A449" s="47" t="s">
        <v>4</v>
      </c>
    </row>
    <row r="450" spans="1:1" x14ac:dyDescent="0.25">
      <c r="A450" s="47" t="s">
        <v>5</v>
      </c>
    </row>
    <row r="451" spans="1:1" x14ac:dyDescent="0.25">
      <c r="A451" s="47" t="s">
        <v>6</v>
      </c>
    </row>
    <row r="452" spans="1:1" x14ac:dyDescent="0.25">
      <c r="A452" s="47" t="s">
        <v>7</v>
      </c>
    </row>
    <row r="453" spans="1:1" x14ac:dyDescent="0.25">
      <c r="A453" s="47" t="s">
        <v>8</v>
      </c>
    </row>
    <row r="454" spans="1:1" x14ac:dyDescent="0.25">
      <c r="A454" s="47" t="s">
        <v>9</v>
      </c>
    </row>
    <row r="455" spans="1:1" x14ac:dyDescent="0.25">
      <c r="A455" s="47" t="s">
        <v>10</v>
      </c>
    </row>
    <row r="456" spans="1:1" x14ac:dyDescent="0.25">
      <c r="A456" s="47" t="s">
        <v>11</v>
      </c>
    </row>
    <row r="457" spans="1:1" x14ac:dyDescent="0.25">
      <c r="A457" s="47" t="s">
        <v>12</v>
      </c>
    </row>
    <row r="458" spans="1:1" x14ac:dyDescent="0.25">
      <c r="A458" s="47" t="s">
        <v>13</v>
      </c>
    </row>
    <row r="459" spans="1:1" x14ac:dyDescent="0.25">
      <c r="A459" s="47" t="s">
        <v>14</v>
      </c>
    </row>
    <row r="460" spans="1:1" x14ac:dyDescent="0.25">
      <c r="A460" s="47" t="s">
        <v>15</v>
      </c>
    </row>
    <row r="461" spans="1:1" x14ac:dyDescent="0.25">
      <c r="A461" s="47" t="s">
        <v>16</v>
      </c>
    </row>
    <row r="462" spans="1:1" x14ac:dyDescent="0.25">
      <c r="A462" s="47" t="s">
        <v>17</v>
      </c>
    </row>
    <row r="463" spans="1:1" x14ac:dyDescent="0.25">
      <c r="A463" s="47" t="s">
        <v>18</v>
      </c>
    </row>
    <row r="464" spans="1:1" x14ac:dyDescent="0.25">
      <c r="A464" s="47" t="s">
        <v>19</v>
      </c>
    </row>
    <row r="465" spans="1:1" x14ac:dyDescent="0.25">
      <c r="A465" s="47" t="s">
        <v>20</v>
      </c>
    </row>
    <row r="466" spans="1:1" x14ac:dyDescent="0.25">
      <c r="A466" s="47" t="s">
        <v>21</v>
      </c>
    </row>
    <row r="467" spans="1:1" x14ac:dyDescent="0.25">
      <c r="A467" s="47" t="s">
        <v>22</v>
      </c>
    </row>
    <row r="468" spans="1:1" x14ac:dyDescent="0.25">
      <c r="A468" s="47" t="s">
        <v>23</v>
      </c>
    </row>
    <row r="469" spans="1:1" x14ac:dyDescent="0.25">
      <c r="A469" s="47" t="s">
        <v>24</v>
      </c>
    </row>
    <row r="470" spans="1:1" x14ac:dyDescent="0.25">
      <c r="A470" s="47" t="s">
        <v>25</v>
      </c>
    </row>
    <row r="471" spans="1:1" x14ac:dyDescent="0.25">
      <c r="A471" s="47" t="s">
        <v>26</v>
      </c>
    </row>
    <row r="472" spans="1:1" x14ac:dyDescent="0.25">
      <c r="A472" s="47" t="s">
        <v>27</v>
      </c>
    </row>
    <row r="473" spans="1:1" x14ac:dyDescent="0.25">
      <c r="A473" s="47" t="s">
        <v>28</v>
      </c>
    </row>
    <row r="474" spans="1:1" x14ac:dyDescent="0.25">
      <c r="A474" s="47" t="s">
        <v>29</v>
      </c>
    </row>
    <row r="475" spans="1:1" x14ac:dyDescent="0.25">
      <c r="A475" s="47" t="s">
        <v>30</v>
      </c>
    </row>
    <row r="476" spans="1:1" x14ac:dyDescent="0.25">
      <c r="A476" s="47" t="s">
        <v>31</v>
      </c>
    </row>
    <row r="477" spans="1:1" x14ac:dyDescent="0.25">
      <c r="A477" s="47" t="s">
        <v>32</v>
      </c>
    </row>
    <row r="478" spans="1:1" x14ac:dyDescent="0.25">
      <c r="A478" s="47" t="s">
        <v>33</v>
      </c>
    </row>
    <row r="479" spans="1:1" x14ac:dyDescent="0.25">
      <c r="A479" s="47" t="s">
        <v>34</v>
      </c>
    </row>
    <row r="480" spans="1:1" x14ac:dyDescent="0.25">
      <c r="A480" s="47" t="s">
        <v>35</v>
      </c>
    </row>
    <row r="481" spans="1:1" x14ac:dyDescent="0.25">
      <c r="A481" s="47" t="s">
        <v>36</v>
      </c>
    </row>
    <row r="482" spans="1:1" x14ac:dyDescent="0.25">
      <c r="A482" s="47" t="s">
        <v>37</v>
      </c>
    </row>
    <row r="483" spans="1:1" x14ac:dyDescent="0.25">
      <c r="A483" s="47" t="s">
        <v>38</v>
      </c>
    </row>
    <row r="484" spans="1:1" x14ac:dyDescent="0.25">
      <c r="A484" s="47" t="s">
        <v>39</v>
      </c>
    </row>
    <row r="485" spans="1:1" x14ac:dyDescent="0.25">
      <c r="A485" s="47" t="s">
        <v>40</v>
      </c>
    </row>
    <row r="486" spans="1:1" x14ac:dyDescent="0.25">
      <c r="A486" s="47" t="s">
        <v>41</v>
      </c>
    </row>
    <row r="487" spans="1:1" x14ac:dyDescent="0.25">
      <c r="A487" s="47" t="s">
        <v>42</v>
      </c>
    </row>
    <row r="488" spans="1:1" x14ac:dyDescent="0.25">
      <c r="A488" s="47" t="s">
        <v>43</v>
      </c>
    </row>
    <row r="489" spans="1:1" x14ac:dyDescent="0.25">
      <c r="A489" s="47" t="s">
        <v>44</v>
      </c>
    </row>
    <row r="490" spans="1:1" x14ac:dyDescent="0.25">
      <c r="A490" s="47" t="s">
        <v>45</v>
      </c>
    </row>
    <row r="491" spans="1:1" x14ac:dyDescent="0.25">
      <c r="A491" s="47" t="s">
        <v>46</v>
      </c>
    </row>
    <row r="492" spans="1:1" x14ac:dyDescent="0.25">
      <c r="A492" s="47" t="s">
        <v>47</v>
      </c>
    </row>
    <row r="493" spans="1:1" x14ac:dyDescent="0.25">
      <c r="A493" s="47" t="s">
        <v>48</v>
      </c>
    </row>
    <row r="494" spans="1:1" x14ac:dyDescent="0.25">
      <c r="A494" s="47" t="s">
        <v>49</v>
      </c>
    </row>
    <row r="495" spans="1:1" x14ac:dyDescent="0.25">
      <c r="A495" s="47" t="s">
        <v>50</v>
      </c>
    </row>
    <row r="496" spans="1:1" x14ac:dyDescent="0.25">
      <c r="A496" s="47" t="s">
        <v>51</v>
      </c>
    </row>
    <row r="497" spans="1:1" x14ac:dyDescent="0.25">
      <c r="A497" s="47" t="s">
        <v>52</v>
      </c>
    </row>
    <row r="498" spans="1:1" x14ac:dyDescent="0.25">
      <c r="A498" s="47" t="s">
        <v>53</v>
      </c>
    </row>
    <row r="499" spans="1:1" x14ac:dyDescent="0.25">
      <c r="A499" s="47" t="s">
        <v>54</v>
      </c>
    </row>
    <row r="500" spans="1:1" x14ac:dyDescent="0.25">
      <c r="A500" s="47" t="s">
        <v>55</v>
      </c>
    </row>
    <row r="501" spans="1:1" x14ac:dyDescent="0.25">
      <c r="A501" s="47" t="s">
        <v>56</v>
      </c>
    </row>
    <row r="502" spans="1:1" x14ac:dyDescent="0.25">
      <c r="A502" s="47" t="s">
        <v>57</v>
      </c>
    </row>
    <row r="503" spans="1:1" x14ac:dyDescent="0.25">
      <c r="A503" s="47" t="s">
        <v>58</v>
      </c>
    </row>
    <row r="504" spans="1:1" x14ac:dyDescent="0.25">
      <c r="A504" s="47" t="s">
        <v>59</v>
      </c>
    </row>
    <row r="505" spans="1:1" x14ac:dyDescent="0.25">
      <c r="A505" s="47" t="s">
        <v>60</v>
      </c>
    </row>
    <row r="506" spans="1:1" x14ac:dyDescent="0.25">
      <c r="A506" s="47" t="s">
        <v>61</v>
      </c>
    </row>
    <row r="507" spans="1:1" x14ac:dyDescent="0.25">
      <c r="A507" s="47" t="s">
        <v>62</v>
      </c>
    </row>
    <row r="508" spans="1:1" x14ac:dyDescent="0.25">
      <c r="A508" s="47" t="s">
        <v>63</v>
      </c>
    </row>
    <row r="509" spans="1:1" x14ac:dyDescent="0.25">
      <c r="A509" s="47" t="s">
        <v>64</v>
      </c>
    </row>
    <row r="510" spans="1:1" x14ac:dyDescent="0.25">
      <c r="A510" s="47" t="s">
        <v>65</v>
      </c>
    </row>
    <row r="511" spans="1:1" x14ac:dyDescent="0.25">
      <c r="A511" s="47" t="s">
        <v>66</v>
      </c>
    </row>
    <row r="512" spans="1:1" x14ac:dyDescent="0.25">
      <c r="A512" s="47" t="s">
        <v>67</v>
      </c>
    </row>
    <row r="513" spans="1:1" x14ac:dyDescent="0.25">
      <c r="A513" s="47" t="s">
        <v>68</v>
      </c>
    </row>
    <row r="514" spans="1:1" x14ac:dyDescent="0.25">
      <c r="A514" s="47" t="s">
        <v>69</v>
      </c>
    </row>
    <row r="515" spans="1:1" x14ac:dyDescent="0.25">
      <c r="A515" s="47" t="s">
        <v>70</v>
      </c>
    </row>
    <row r="516" spans="1:1" x14ac:dyDescent="0.25">
      <c r="A516" s="47" t="s">
        <v>71</v>
      </c>
    </row>
    <row r="517" spans="1:1" x14ac:dyDescent="0.25">
      <c r="A517" s="47" t="s">
        <v>72</v>
      </c>
    </row>
    <row r="518" spans="1:1" x14ac:dyDescent="0.25">
      <c r="A518" s="47" t="s">
        <v>73</v>
      </c>
    </row>
    <row r="519" spans="1:1" x14ac:dyDescent="0.25">
      <c r="A519" s="47" t="s">
        <v>74</v>
      </c>
    </row>
    <row r="520" spans="1:1" x14ac:dyDescent="0.25">
      <c r="A520" s="47" t="s">
        <v>75</v>
      </c>
    </row>
    <row r="521" spans="1:1" x14ac:dyDescent="0.25">
      <c r="A521" s="47" t="s">
        <v>76</v>
      </c>
    </row>
    <row r="522" spans="1:1" x14ac:dyDescent="0.25">
      <c r="A522" s="47" t="s">
        <v>77</v>
      </c>
    </row>
    <row r="523" spans="1:1" x14ac:dyDescent="0.25">
      <c r="A523" s="47" t="s">
        <v>78</v>
      </c>
    </row>
    <row r="524" spans="1:1" x14ac:dyDescent="0.25">
      <c r="A524" s="47" t="s">
        <v>79</v>
      </c>
    </row>
    <row r="525" spans="1:1" x14ac:dyDescent="0.25">
      <c r="A525" s="47" t="s">
        <v>80</v>
      </c>
    </row>
    <row r="526" spans="1:1" x14ac:dyDescent="0.25">
      <c r="A526" s="47" t="s">
        <v>81</v>
      </c>
    </row>
    <row r="527" spans="1:1" x14ac:dyDescent="0.25">
      <c r="A527" s="47" t="s">
        <v>82</v>
      </c>
    </row>
    <row r="528" spans="1:1" x14ac:dyDescent="0.25">
      <c r="A528" s="47" t="s">
        <v>83</v>
      </c>
    </row>
    <row r="529" spans="1:1" x14ac:dyDescent="0.25">
      <c r="A529" s="47" t="s">
        <v>84</v>
      </c>
    </row>
    <row r="530" spans="1:1" x14ac:dyDescent="0.25">
      <c r="A530" s="47" t="s">
        <v>85</v>
      </c>
    </row>
    <row r="531" spans="1:1" x14ac:dyDescent="0.25">
      <c r="A531" s="47" t="s">
        <v>86</v>
      </c>
    </row>
    <row r="532" spans="1:1" x14ac:dyDescent="0.25">
      <c r="A532" s="47" t="s">
        <v>87</v>
      </c>
    </row>
    <row r="533" spans="1:1" x14ac:dyDescent="0.25">
      <c r="A533" s="47" t="s">
        <v>88</v>
      </c>
    </row>
    <row r="534" spans="1:1" x14ac:dyDescent="0.25">
      <c r="A534" s="47" t="s">
        <v>89</v>
      </c>
    </row>
    <row r="535" spans="1:1" x14ac:dyDescent="0.25">
      <c r="A535" s="47" t="s">
        <v>90</v>
      </c>
    </row>
    <row r="536" spans="1:1" x14ac:dyDescent="0.25">
      <c r="A536" s="47" t="s">
        <v>91</v>
      </c>
    </row>
    <row r="537" spans="1:1" x14ac:dyDescent="0.25">
      <c r="A537" s="47" t="s">
        <v>92</v>
      </c>
    </row>
    <row r="538" spans="1:1" x14ac:dyDescent="0.25">
      <c r="A538" s="47" t="s">
        <v>93</v>
      </c>
    </row>
    <row r="539" spans="1:1" x14ac:dyDescent="0.25">
      <c r="A539" s="47" t="s">
        <v>94</v>
      </c>
    </row>
    <row r="540" spans="1:1" x14ac:dyDescent="0.25">
      <c r="A540" s="47" t="s">
        <v>95</v>
      </c>
    </row>
    <row r="541" spans="1:1" x14ac:dyDescent="0.25">
      <c r="A541" s="47" t="s">
        <v>96</v>
      </c>
    </row>
    <row r="542" spans="1:1" x14ac:dyDescent="0.25">
      <c r="A542" s="47" t="s">
        <v>97</v>
      </c>
    </row>
    <row r="543" spans="1:1" x14ac:dyDescent="0.25">
      <c r="A543" s="47" t="s">
        <v>98</v>
      </c>
    </row>
    <row r="544" spans="1:1" x14ac:dyDescent="0.25">
      <c r="A544" s="47" t="s">
        <v>99</v>
      </c>
    </row>
    <row r="545" spans="1:1" x14ac:dyDescent="0.25">
      <c r="A545" s="47" t="s">
        <v>100</v>
      </c>
    </row>
    <row r="546" spans="1:1" x14ac:dyDescent="0.25">
      <c r="A546" s="47" t="s">
        <v>101</v>
      </c>
    </row>
    <row r="547" spans="1:1" x14ac:dyDescent="0.25">
      <c r="A547" s="47" t="s">
        <v>102</v>
      </c>
    </row>
    <row r="548" spans="1:1" x14ac:dyDescent="0.25">
      <c r="A548" s="47" t="s">
        <v>103</v>
      </c>
    </row>
    <row r="549" spans="1:1" x14ac:dyDescent="0.25">
      <c r="A549" s="47" t="s">
        <v>104</v>
      </c>
    </row>
    <row r="550" spans="1:1" x14ac:dyDescent="0.25">
      <c r="A550" s="47" t="s">
        <v>105</v>
      </c>
    </row>
    <row r="551" spans="1:1" x14ac:dyDescent="0.25">
      <c r="A551" s="47" t="s">
        <v>106</v>
      </c>
    </row>
    <row r="552" spans="1:1" x14ac:dyDescent="0.25">
      <c r="A552" s="47" t="s">
        <v>107</v>
      </c>
    </row>
    <row r="553" spans="1:1" x14ac:dyDescent="0.25">
      <c r="A553" s="47" t="s">
        <v>108</v>
      </c>
    </row>
    <row r="554" spans="1:1" x14ac:dyDescent="0.25">
      <c r="A554" s="47" t="s">
        <v>109</v>
      </c>
    </row>
    <row r="555" spans="1:1" x14ac:dyDescent="0.25">
      <c r="A555" s="47" t="s">
        <v>110</v>
      </c>
    </row>
    <row r="556" spans="1:1" x14ac:dyDescent="0.25">
      <c r="A556" s="47" t="s">
        <v>111</v>
      </c>
    </row>
    <row r="557" spans="1:1" x14ac:dyDescent="0.25">
      <c r="A557" s="47" t="s">
        <v>112</v>
      </c>
    </row>
    <row r="558" spans="1:1" x14ac:dyDescent="0.25">
      <c r="A558" s="47" t="s">
        <v>113</v>
      </c>
    </row>
    <row r="559" spans="1:1" x14ac:dyDescent="0.25">
      <c r="A559" s="47" t="s">
        <v>114</v>
      </c>
    </row>
    <row r="560" spans="1:1" x14ac:dyDescent="0.25">
      <c r="A560" s="47" t="s">
        <v>115</v>
      </c>
    </row>
    <row r="561" spans="1:1" x14ac:dyDescent="0.25">
      <c r="A561" s="47" t="s">
        <v>116</v>
      </c>
    </row>
    <row r="562" spans="1:1" x14ac:dyDescent="0.25">
      <c r="A562" s="47" t="s">
        <v>117</v>
      </c>
    </row>
    <row r="563" spans="1:1" x14ac:dyDescent="0.25">
      <c r="A563" s="47" t="s">
        <v>118</v>
      </c>
    </row>
    <row r="564" spans="1:1" x14ac:dyDescent="0.25">
      <c r="A564" s="47" t="s">
        <v>119</v>
      </c>
    </row>
    <row r="565" spans="1:1" x14ac:dyDescent="0.25">
      <c r="A565" s="47" t="s">
        <v>120</v>
      </c>
    </row>
    <row r="566" spans="1:1" x14ac:dyDescent="0.25">
      <c r="A566" s="47" t="s">
        <v>121</v>
      </c>
    </row>
    <row r="567" spans="1:1" x14ac:dyDescent="0.25">
      <c r="A567" s="47" t="s">
        <v>122</v>
      </c>
    </row>
    <row r="568" spans="1:1" x14ac:dyDescent="0.25">
      <c r="A568" s="47" t="s">
        <v>123</v>
      </c>
    </row>
    <row r="569" spans="1:1" x14ac:dyDescent="0.25">
      <c r="A569" s="47" t="s">
        <v>124</v>
      </c>
    </row>
    <row r="570" spans="1:1" x14ac:dyDescent="0.25">
      <c r="A570" s="47" t="s">
        <v>125</v>
      </c>
    </row>
    <row r="571" spans="1:1" x14ac:dyDescent="0.25">
      <c r="A571" s="47" t="s">
        <v>126</v>
      </c>
    </row>
    <row r="572" spans="1:1" x14ac:dyDescent="0.25">
      <c r="A572" s="47" t="s">
        <v>127</v>
      </c>
    </row>
    <row r="573" spans="1:1" x14ac:dyDescent="0.25">
      <c r="A573" s="47" t="s">
        <v>128</v>
      </c>
    </row>
    <row r="574" spans="1:1" x14ac:dyDescent="0.25">
      <c r="A574" s="47" t="s">
        <v>129</v>
      </c>
    </row>
    <row r="575" spans="1:1" x14ac:dyDescent="0.25">
      <c r="A575" s="47" t="s">
        <v>130</v>
      </c>
    </row>
    <row r="576" spans="1:1" x14ac:dyDescent="0.25">
      <c r="A576" s="47" t="s">
        <v>131</v>
      </c>
    </row>
    <row r="577" spans="1:1" x14ac:dyDescent="0.25">
      <c r="A577" s="47" t="s">
        <v>132</v>
      </c>
    </row>
    <row r="578" spans="1:1" x14ac:dyDescent="0.25">
      <c r="A578" s="47" t="s">
        <v>133</v>
      </c>
    </row>
    <row r="579" spans="1:1" x14ac:dyDescent="0.25">
      <c r="A579" s="47" t="s">
        <v>134</v>
      </c>
    </row>
    <row r="580" spans="1:1" x14ac:dyDescent="0.25">
      <c r="A580" s="47" t="s">
        <v>135</v>
      </c>
    </row>
    <row r="581" spans="1:1" x14ac:dyDescent="0.25">
      <c r="A581" s="47" t="s">
        <v>136</v>
      </c>
    </row>
    <row r="582" spans="1:1" x14ac:dyDescent="0.25">
      <c r="A582" s="47" t="s">
        <v>137</v>
      </c>
    </row>
    <row r="583" spans="1:1" x14ac:dyDescent="0.25">
      <c r="A583" s="47" t="s">
        <v>138</v>
      </c>
    </row>
    <row r="584" spans="1:1" x14ac:dyDescent="0.25">
      <c r="A584" s="47" t="s">
        <v>139</v>
      </c>
    </row>
    <row r="585" spans="1:1" x14ac:dyDescent="0.25">
      <c r="A585" s="47" t="s">
        <v>140</v>
      </c>
    </row>
    <row r="586" spans="1:1" x14ac:dyDescent="0.25">
      <c r="A586" s="47" t="s">
        <v>141</v>
      </c>
    </row>
    <row r="587" spans="1:1" x14ac:dyDescent="0.25">
      <c r="A587" s="47" t="s">
        <v>142</v>
      </c>
    </row>
    <row r="588" spans="1:1" x14ac:dyDescent="0.25">
      <c r="A588" s="47" t="s">
        <v>143</v>
      </c>
    </row>
    <row r="589" spans="1:1" x14ac:dyDescent="0.25">
      <c r="A589" s="47" t="s">
        <v>144</v>
      </c>
    </row>
    <row r="590" spans="1:1" x14ac:dyDescent="0.25">
      <c r="A590" s="47" t="s">
        <v>145</v>
      </c>
    </row>
    <row r="591" spans="1:1" x14ac:dyDescent="0.25">
      <c r="A591" s="47" t="s">
        <v>146</v>
      </c>
    </row>
    <row r="592" spans="1:1" x14ac:dyDescent="0.25">
      <c r="A592" s="47" t="s">
        <v>147</v>
      </c>
    </row>
    <row r="593" spans="1:1" x14ac:dyDescent="0.25">
      <c r="A593" s="47" t="s">
        <v>148</v>
      </c>
    </row>
    <row r="594" spans="1:1" x14ac:dyDescent="0.25">
      <c r="A594" s="47" t="s">
        <v>149</v>
      </c>
    </row>
    <row r="595" spans="1:1" x14ac:dyDescent="0.25">
      <c r="A595" s="47" t="s">
        <v>150</v>
      </c>
    </row>
    <row r="596" spans="1:1" x14ac:dyDescent="0.25">
      <c r="A596" s="47" t="s">
        <v>151</v>
      </c>
    </row>
    <row r="597" spans="1:1" x14ac:dyDescent="0.25">
      <c r="A597" s="47" t="s">
        <v>152</v>
      </c>
    </row>
    <row r="598" spans="1:1" x14ac:dyDescent="0.25">
      <c r="A598" s="47" t="s">
        <v>153</v>
      </c>
    </row>
    <row r="599" spans="1:1" x14ac:dyDescent="0.25">
      <c r="A599" s="47" t="s">
        <v>154</v>
      </c>
    </row>
    <row r="600" spans="1:1" x14ac:dyDescent="0.25">
      <c r="A600" s="47" t="s">
        <v>155</v>
      </c>
    </row>
    <row r="601" spans="1:1" x14ac:dyDescent="0.25">
      <c r="A601" s="47" t="s">
        <v>156</v>
      </c>
    </row>
    <row r="602" spans="1:1" x14ac:dyDescent="0.25">
      <c r="A602" s="47" t="s">
        <v>157</v>
      </c>
    </row>
    <row r="603" spans="1:1" x14ac:dyDescent="0.25">
      <c r="A603" s="47" t="s">
        <v>158</v>
      </c>
    </row>
    <row r="604" spans="1:1" x14ac:dyDescent="0.25">
      <c r="A604" s="47" t="s">
        <v>159</v>
      </c>
    </row>
    <row r="605" spans="1:1" x14ac:dyDescent="0.25">
      <c r="A605" s="47" t="s">
        <v>160</v>
      </c>
    </row>
    <row r="606" spans="1:1" x14ac:dyDescent="0.25">
      <c r="A606" s="47" t="s">
        <v>161</v>
      </c>
    </row>
    <row r="607" spans="1:1" x14ac:dyDescent="0.25">
      <c r="A607" s="47" t="s">
        <v>162</v>
      </c>
    </row>
    <row r="608" spans="1:1" x14ac:dyDescent="0.25">
      <c r="A608" s="47" t="s">
        <v>163</v>
      </c>
    </row>
    <row r="609" spans="1:1" x14ac:dyDescent="0.25">
      <c r="A609" s="47" t="s">
        <v>164</v>
      </c>
    </row>
    <row r="610" spans="1:1" x14ac:dyDescent="0.25">
      <c r="A610" s="47" t="s">
        <v>165</v>
      </c>
    </row>
    <row r="611" spans="1:1" x14ac:dyDescent="0.25">
      <c r="A611" s="47" t="s">
        <v>166</v>
      </c>
    </row>
    <row r="612" spans="1:1" x14ac:dyDescent="0.25">
      <c r="A612" s="47" t="s">
        <v>167</v>
      </c>
    </row>
    <row r="613" spans="1:1" x14ac:dyDescent="0.25">
      <c r="A613" s="47" t="s">
        <v>168</v>
      </c>
    </row>
    <row r="614" spans="1:1" x14ac:dyDescent="0.25">
      <c r="A614" s="47" t="s">
        <v>169</v>
      </c>
    </row>
    <row r="615" spans="1:1" x14ac:dyDescent="0.25">
      <c r="A615" s="47" t="s">
        <v>170</v>
      </c>
    </row>
    <row r="616" spans="1:1" x14ac:dyDescent="0.25">
      <c r="A616" s="47" t="s">
        <v>171</v>
      </c>
    </row>
    <row r="617" spans="1:1" x14ac:dyDescent="0.25">
      <c r="A617" s="47" t="s">
        <v>172</v>
      </c>
    </row>
    <row r="618" spans="1:1" x14ac:dyDescent="0.25">
      <c r="A618" s="47" t="s">
        <v>173</v>
      </c>
    </row>
    <row r="619" spans="1:1" x14ac:dyDescent="0.25">
      <c r="A619" s="47" t="s">
        <v>174</v>
      </c>
    </row>
    <row r="620" spans="1:1" x14ac:dyDescent="0.25">
      <c r="A620" s="47" t="s">
        <v>175</v>
      </c>
    </row>
    <row r="621" spans="1:1" x14ac:dyDescent="0.25">
      <c r="A621" s="47" t="s">
        <v>176</v>
      </c>
    </row>
    <row r="622" spans="1:1" x14ac:dyDescent="0.25">
      <c r="A622" s="47" t="s">
        <v>177</v>
      </c>
    </row>
    <row r="623" spans="1:1" x14ac:dyDescent="0.25">
      <c r="A623" s="47" t="s">
        <v>178</v>
      </c>
    </row>
    <row r="624" spans="1:1" x14ac:dyDescent="0.25">
      <c r="A624" s="47" t="s">
        <v>179</v>
      </c>
    </row>
    <row r="625" spans="1:1" x14ac:dyDescent="0.25">
      <c r="A625" s="47" t="s">
        <v>180</v>
      </c>
    </row>
    <row r="626" spans="1:1" x14ac:dyDescent="0.25">
      <c r="A626" s="47" t="s">
        <v>181</v>
      </c>
    </row>
    <row r="627" spans="1:1" x14ac:dyDescent="0.25">
      <c r="A627" s="47" t="s">
        <v>182</v>
      </c>
    </row>
    <row r="628" spans="1:1" x14ac:dyDescent="0.25">
      <c r="A628" s="47" t="s">
        <v>183</v>
      </c>
    </row>
    <row r="629" spans="1:1" x14ac:dyDescent="0.25">
      <c r="A629" s="47" t="s">
        <v>184</v>
      </c>
    </row>
    <row r="630" spans="1:1" x14ac:dyDescent="0.25">
      <c r="A630" s="47" t="s">
        <v>185</v>
      </c>
    </row>
    <row r="631" spans="1:1" x14ac:dyDescent="0.25">
      <c r="A631" s="47" t="s">
        <v>186</v>
      </c>
    </row>
    <row r="632" spans="1:1" x14ac:dyDescent="0.25">
      <c r="A632" s="47" t="s">
        <v>187</v>
      </c>
    </row>
    <row r="633" spans="1:1" x14ac:dyDescent="0.25">
      <c r="A633" s="47" t="s">
        <v>188</v>
      </c>
    </row>
    <row r="634" spans="1:1" x14ac:dyDescent="0.25">
      <c r="A634" s="47" t="s">
        <v>189</v>
      </c>
    </row>
    <row r="635" spans="1:1" x14ac:dyDescent="0.25">
      <c r="A635" s="47" t="s">
        <v>190</v>
      </c>
    </row>
    <row r="636" spans="1:1" x14ac:dyDescent="0.25">
      <c r="A636" s="47" t="s">
        <v>191</v>
      </c>
    </row>
    <row r="637" spans="1:1" x14ac:dyDescent="0.25">
      <c r="A637" s="47" t="s">
        <v>192</v>
      </c>
    </row>
    <row r="638" spans="1:1" x14ac:dyDescent="0.25">
      <c r="A638" s="47" t="s">
        <v>193</v>
      </c>
    </row>
    <row r="639" spans="1:1" x14ac:dyDescent="0.25">
      <c r="A639" s="47" t="s">
        <v>194</v>
      </c>
    </row>
    <row r="640" spans="1:1" x14ac:dyDescent="0.25">
      <c r="A640" s="47" t="s">
        <v>195</v>
      </c>
    </row>
    <row r="641" spans="1:1" x14ac:dyDescent="0.25">
      <c r="A641" s="47" t="s">
        <v>196</v>
      </c>
    </row>
    <row r="642" spans="1:1" x14ac:dyDescent="0.25">
      <c r="A642" s="47" t="s">
        <v>197</v>
      </c>
    </row>
    <row r="643" spans="1:1" x14ac:dyDescent="0.25">
      <c r="A643" s="47" t="s">
        <v>198</v>
      </c>
    </row>
    <row r="644" spans="1:1" x14ac:dyDescent="0.25">
      <c r="A644" s="47" t="s">
        <v>199</v>
      </c>
    </row>
    <row r="645" spans="1:1" x14ac:dyDescent="0.25">
      <c r="A645" s="47" t="s">
        <v>200</v>
      </c>
    </row>
    <row r="646" spans="1:1" x14ac:dyDescent="0.25">
      <c r="A646" s="47" t="s">
        <v>201</v>
      </c>
    </row>
    <row r="647" spans="1:1" x14ac:dyDescent="0.25">
      <c r="A647" s="47" t="s">
        <v>202</v>
      </c>
    </row>
    <row r="648" spans="1:1" x14ac:dyDescent="0.25">
      <c r="A648" s="47" t="s">
        <v>203</v>
      </c>
    </row>
    <row r="649" spans="1:1" x14ac:dyDescent="0.25">
      <c r="A649" s="47" t="s">
        <v>204</v>
      </c>
    </row>
    <row r="650" spans="1:1" x14ac:dyDescent="0.25">
      <c r="A650" s="47" t="s">
        <v>205</v>
      </c>
    </row>
    <row r="651" spans="1:1" x14ac:dyDescent="0.25">
      <c r="A651" s="47" t="s">
        <v>206</v>
      </c>
    </row>
    <row r="652" spans="1:1" x14ac:dyDescent="0.25">
      <c r="A652" s="47" t="s">
        <v>207</v>
      </c>
    </row>
    <row r="653" spans="1:1" x14ac:dyDescent="0.25">
      <c r="A653" s="47" t="s">
        <v>208</v>
      </c>
    </row>
    <row r="654" spans="1:1" x14ac:dyDescent="0.25">
      <c r="A654" s="47" t="s">
        <v>209</v>
      </c>
    </row>
    <row r="655" spans="1:1" x14ac:dyDescent="0.25">
      <c r="A655" s="47" t="s">
        <v>210</v>
      </c>
    </row>
    <row r="656" spans="1:1" x14ac:dyDescent="0.25">
      <c r="A656" s="47" t="s">
        <v>211</v>
      </c>
    </row>
    <row r="657" spans="1:1" x14ac:dyDescent="0.25">
      <c r="A657" s="47" t="s">
        <v>212</v>
      </c>
    </row>
    <row r="658" spans="1:1" x14ac:dyDescent="0.25">
      <c r="A658" s="47" t="s">
        <v>213</v>
      </c>
    </row>
    <row r="659" spans="1:1" x14ac:dyDescent="0.25">
      <c r="A659" s="47" t="s">
        <v>214</v>
      </c>
    </row>
    <row r="660" spans="1:1" x14ac:dyDescent="0.25">
      <c r="A660" s="47" t="s">
        <v>215</v>
      </c>
    </row>
    <row r="661" spans="1:1" x14ac:dyDescent="0.25">
      <c r="A661" s="47" t="s">
        <v>216</v>
      </c>
    </row>
    <row r="662" spans="1:1" x14ac:dyDescent="0.25">
      <c r="A662" s="47" t="s">
        <v>217</v>
      </c>
    </row>
    <row r="663" spans="1:1" x14ac:dyDescent="0.25">
      <c r="A663" s="47" t="s">
        <v>218</v>
      </c>
    </row>
    <row r="664" spans="1:1" x14ac:dyDescent="0.25">
      <c r="A664" s="47" t="s">
        <v>219</v>
      </c>
    </row>
    <row r="665" spans="1:1" x14ac:dyDescent="0.25">
      <c r="A665" s="47" t="s">
        <v>220</v>
      </c>
    </row>
    <row r="666" spans="1:1" x14ac:dyDescent="0.25">
      <c r="A666" s="47" t="s">
        <v>221</v>
      </c>
    </row>
    <row r="667" spans="1:1" x14ac:dyDescent="0.25">
      <c r="A667" s="47" t="s">
        <v>222</v>
      </c>
    </row>
    <row r="668" spans="1:1" x14ac:dyDescent="0.25">
      <c r="A668" s="47" t="s">
        <v>223</v>
      </c>
    </row>
    <row r="669" spans="1:1" x14ac:dyDescent="0.25">
      <c r="A669" s="47" t="s">
        <v>224</v>
      </c>
    </row>
    <row r="670" spans="1:1" x14ac:dyDescent="0.25">
      <c r="A670" s="47" t="s">
        <v>225</v>
      </c>
    </row>
    <row r="671" spans="1:1" x14ac:dyDescent="0.25">
      <c r="A671" s="47" t="s">
        <v>226</v>
      </c>
    </row>
    <row r="672" spans="1:1" x14ac:dyDescent="0.25">
      <c r="A672" s="47" t="s">
        <v>227</v>
      </c>
    </row>
    <row r="673" spans="1:1" x14ac:dyDescent="0.25">
      <c r="A673" s="47" t="s">
        <v>228</v>
      </c>
    </row>
    <row r="674" spans="1:1" x14ac:dyDescent="0.25">
      <c r="A674" s="47" t="s">
        <v>229</v>
      </c>
    </row>
    <row r="675" spans="1:1" x14ac:dyDescent="0.25">
      <c r="A675" s="47" t="s">
        <v>230</v>
      </c>
    </row>
    <row r="676" spans="1:1" x14ac:dyDescent="0.25">
      <c r="A676" s="47" t="s">
        <v>231</v>
      </c>
    </row>
    <row r="677" spans="1:1" x14ac:dyDescent="0.25">
      <c r="A677" s="47" t="s">
        <v>232</v>
      </c>
    </row>
    <row r="678" spans="1:1" x14ac:dyDescent="0.25">
      <c r="A678" s="47" t="s">
        <v>233</v>
      </c>
    </row>
    <row r="679" spans="1:1" x14ac:dyDescent="0.25">
      <c r="A679" s="47" t="s">
        <v>234</v>
      </c>
    </row>
    <row r="680" spans="1:1" x14ac:dyDescent="0.25">
      <c r="A680" s="47" t="s">
        <v>235</v>
      </c>
    </row>
    <row r="681" spans="1:1" x14ac:dyDescent="0.25">
      <c r="A681" s="47" t="s">
        <v>236</v>
      </c>
    </row>
    <row r="682" spans="1:1" x14ac:dyDescent="0.25">
      <c r="A682" s="47" t="s">
        <v>237</v>
      </c>
    </row>
    <row r="683" spans="1:1" x14ac:dyDescent="0.25">
      <c r="A683" s="47" t="s">
        <v>238</v>
      </c>
    </row>
    <row r="684" spans="1:1" x14ac:dyDescent="0.25">
      <c r="A684" s="47" t="s">
        <v>239</v>
      </c>
    </row>
    <row r="685" spans="1:1" x14ac:dyDescent="0.25">
      <c r="A685" s="47" t="s">
        <v>240</v>
      </c>
    </row>
    <row r="686" spans="1:1" x14ac:dyDescent="0.25">
      <c r="A686" s="47" t="s">
        <v>241</v>
      </c>
    </row>
    <row r="687" spans="1:1" x14ac:dyDescent="0.25">
      <c r="A687" s="47" t="s">
        <v>242</v>
      </c>
    </row>
    <row r="688" spans="1:1" x14ac:dyDescent="0.25">
      <c r="A688" s="47" t="s">
        <v>243</v>
      </c>
    </row>
    <row r="689" spans="1:1" x14ac:dyDescent="0.25">
      <c r="A689" s="47" t="s">
        <v>244</v>
      </c>
    </row>
    <row r="690" spans="1:1" x14ac:dyDescent="0.25">
      <c r="A690" s="47" t="s">
        <v>245</v>
      </c>
    </row>
    <row r="691" spans="1:1" x14ac:dyDescent="0.25">
      <c r="A691" s="47" t="s">
        <v>246</v>
      </c>
    </row>
    <row r="692" spans="1:1" x14ac:dyDescent="0.25">
      <c r="A692" s="47" t="s">
        <v>247</v>
      </c>
    </row>
    <row r="693" spans="1:1" x14ac:dyDescent="0.25">
      <c r="A693" s="47" t="s">
        <v>248</v>
      </c>
    </row>
    <row r="694" spans="1:1" x14ac:dyDescent="0.25">
      <c r="A694" s="47" t="s">
        <v>249</v>
      </c>
    </row>
    <row r="695" spans="1:1" x14ac:dyDescent="0.25">
      <c r="A695" s="47" t="s">
        <v>250</v>
      </c>
    </row>
    <row r="696" spans="1:1" x14ac:dyDescent="0.25">
      <c r="A696" s="47" t="s">
        <v>251</v>
      </c>
    </row>
    <row r="697" spans="1:1" x14ac:dyDescent="0.25">
      <c r="A697" s="47" t="s">
        <v>252</v>
      </c>
    </row>
    <row r="698" spans="1:1" x14ac:dyDescent="0.25">
      <c r="A698" s="47" t="s">
        <v>253</v>
      </c>
    </row>
    <row r="699" spans="1:1" x14ac:dyDescent="0.25">
      <c r="A699" s="47" t="s">
        <v>254</v>
      </c>
    </row>
    <row r="700" spans="1:1" x14ac:dyDescent="0.25">
      <c r="A700" s="47" t="s">
        <v>255</v>
      </c>
    </row>
    <row r="701" spans="1:1" x14ac:dyDescent="0.25">
      <c r="A701" s="47" t="s">
        <v>256</v>
      </c>
    </row>
    <row r="702" spans="1:1" x14ac:dyDescent="0.25">
      <c r="A702" s="47" t="s">
        <v>257</v>
      </c>
    </row>
    <row r="703" spans="1:1" x14ac:dyDescent="0.25">
      <c r="A703" s="47" t="s">
        <v>258</v>
      </c>
    </row>
    <row r="704" spans="1:1" x14ac:dyDescent="0.25">
      <c r="A704" s="47" t="s">
        <v>259</v>
      </c>
    </row>
    <row r="705" spans="1:1" x14ac:dyDescent="0.25">
      <c r="A705" s="47" t="s">
        <v>260</v>
      </c>
    </row>
    <row r="706" spans="1:1" x14ac:dyDescent="0.25">
      <c r="A706" s="47" t="s">
        <v>261</v>
      </c>
    </row>
    <row r="707" spans="1:1" x14ac:dyDescent="0.25">
      <c r="A707" s="47" t="s">
        <v>262</v>
      </c>
    </row>
    <row r="708" spans="1:1" x14ac:dyDescent="0.25">
      <c r="A708" s="47" t="s">
        <v>263</v>
      </c>
    </row>
    <row r="709" spans="1:1" x14ac:dyDescent="0.25">
      <c r="A709" s="47" t="s">
        <v>264</v>
      </c>
    </row>
    <row r="710" spans="1:1" x14ac:dyDescent="0.25">
      <c r="A710" s="47" t="s">
        <v>265</v>
      </c>
    </row>
    <row r="711" spans="1:1" x14ac:dyDescent="0.25">
      <c r="A711" s="47" t="s">
        <v>266</v>
      </c>
    </row>
    <row r="712" spans="1:1" x14ac:dyDescent="0.25">
      <c r="A712" s="47" t="s">
        <v>267</v>
      </c>
    </row>
    <row r="713" spans="1:1" x14ac:dyDescent="0.25">
      <c r="A713" s="47" t="s">
        <v>268</v>
      </c>
    </row>
    <row r="714" spans="1:1" x14ac:dyDescent="0.25">
      <c r="A714" s="47" t="s">
        <v>269</v>
      </c>
    </row>
    <row r="715" spans="1:1" x14ac:dyDescent="0.25">
      <c r="A715" s="47" t="s">
        <v>270</v>
      </c>
    </row>
    <row r="716" spans="1:1" x14ac:dyDescent="0.25">
      <c r="A716" s="47" t="s">
        <v>271</v>
      </c>
    </row>
    <row r="717" spans="1:1" x14ac:dyDescent="0.25">
      <c r="A717" s="47" t="s">
        <v>272</v>
      </c>
    </row>
    <row r="718" spans="1:1" x14ac:dyDescent="0.25">
      <c r="A718" s="47" t="s">
        <v>273</v>
      </c>
    </row>
    <row r="719" spans="1:1" x14ac:dyDescent="0.25">
      <c r="A719" s="47" t="s">
        <v>274</v>
      </c>
    </row>
    <row r="720" spans="1:1" x14ac:dyDescent="0.25">
      <c r="A720" s="47" t="s">
        <v>275</v>
      </c>
    </row>
    <row r="721" spans="1:1" x14ac:dyDescent="0.25">
      <c r="A721" s="47" t="s">
        <v>276</v>
      </c>
    </row>
    <row r="722" spans="1:1" x14ac:dyDescent="0.25">
      <c r="A722" s="47" t="s">
        <v>277</v>
      </c>
    </row>
    <row r="723" spans="1:1" x14ac:dyDescent="0.25">
      <c r="A723" s="47" t="s">
        <v>278</v>
      </c>
    </row>
    <row r="724" spans="1:1" x14ac:dyDescent="0.25">
      <c r="A724" s="47" t="s">
        <v>279</v>
      </c>
    </row>
    <row r="725" spans="1:1" x14ac:dyDescent="0.25">
      <c r="A725" s="47" t="s">
        <v>280</v>
      </c>
    </row>
    <row r="726" spans="1:1" x14ac:dyDescent="0.25">
      <c r="A726" s="47" t="s">
        <v>281</v>
      </c>
    </row>
    <row r="727" spans="1:1" x14ac:dyDescent="0.25">
      <c r="A727" s="47" t="s">
        <v>282</v>
      </c>
    </row>
    <row r="728" spans="1:1" x14ac:dyDescent="0.25">
      <c r="A728" s="47" t="s">
        <v>283</v>
      </c>
    </row>
    <row r="729" spans="1:1" x14ac:dyDescent="0.25">
      <c r="A729" s="47" t="s">
        <v>284</v>
      </c>
    </row>
    <row r="730" spans="1:1" x14ac:dyDescent="0.25">
      <c r="A730" s="47" t="s">
        <v>285</v>
      </c>
    </row>
    <row r="731" spans="1:1" x14ac:dyDescent="0.25">
      <c r="A731" s="47" t="s">
        <v>286</v>
      </c>
    </row>
    <row r="732" spans="1:1" x14ac:dyDescent="0.25">
      <c r="A732" s="47" t="s">
        <v>287</v>
      </c>
    </row>
    <row r="733" spans="1:1" x14ac:dyDescent="0.25">
      <c r="A733" s="47" t="s">
        <v>288</v>
      </c>
    </row>
    <row r="734" spans="1:1" x14ac:dyDescent="0.25">
      <c r="A734" s="47" t="s">
        <v>289</v>
      </c>
    </row>
    <row r="735" spans="1:1" x14ac:dyDescent="0.25">
      <c r="A735" s="47" t="s">
        <v>290</v>
      </c>
    </row>
    <row r="736" spans="1:1" x14ac:dyDescent="0.25">
      <c r="A736" s="47" t="s">
        <v>291</v>
      </c>
    </row>
    <row r="737" spans="1:1" x14ac:dyDescent="0.25">
      <c r="A737" s="47" t="s">
        <v>292</v>
      </c>
    </row>
    <row r="738" spans="1:1" x14ac:dyDescent="0.25">
      <c r="A738" s="47" t="s">
        <v>293</v>
      </c>
    </row>
    <row r="739" spans="1:1" x14ac:dyDescent="0.25">
      <c r="A739" s="47" t="s">
        <v>294</v>
      </c>
    </row>
    <row r="740" spans="1:1" x14ac:dyDescent="0.25">
      <c r="A740" s="47" t="s">
        <v>295</v>
      </c>
    </row>
    <row r="741" spans="1:1" x14ac:dyDescent="0.25">
      <c r="A741" s="47" t="s">
        <v>296</v>
      </c>
    </row>
    <row r="742" spans="1:1" x14ac:dyDescent="0.25">
      <c r="A742" s="47" t="s">
        <v>297</v>
      </c>
    </row>
    <row r="743" spans="1:1" x14ac:dyDescent="0.25">
      <c r="A743" s="47" t="s">
        <v>298</v>
      </c>
    </row>
    <row r="744" spans="1:1" x14ac:dyDescent="0.25">
      <c r="A744" s="47" t="s">
        <v>299</v>
      </c>
    </row>
    <row r="745" spans="1:1" x14ac:dyDescent="0.25">
      <c r="A745" s="47" t="s">
        <v>300</v>
      </c>
    </row>
    <row r="746" spans="1:1" x14ac:dyDescent="0.25">
      <c r="A746" s="47" t="s">
        <v>301</v>
      </c>
    </row>
    <row r="747" spans="1:1" x14ac:dyDescent="0.25">
      <c r="A747" s="47" t="s">
        <v>302</v>
      </c>
    </row>
    <row r="748" spans="1:1" x14ac:dyDescent="0.25">
      <c r="A748" s="47" t="s">
        <v>303</v>
      </c>
    </row>
    <row r="749" spans="1:1" x14ac:dyDescent="0.25">
      <c r="A749" s="47" t="s">
        <v>304</v>
      </c>
    </row>
    <row r="750" spans="1:1" x14ac:dyDescent="0.25">
      <c r="A750" s="47" t="s">
        <v>305</v>
      </c>
    </row>
    <row r="751" spans="1:1" x14ac:dyDescent="0.25">
      <c r="A751" s="47" t="s">
        <v>306</v>
      </c>
    </row>
    <row r="752" spans="1:1" x14ac:dyDescent="0.25">
      <c r="A752" s="47" t="s">
        <v>307</v>
      </c>
    </row>
    <row r="753" spans="1:1" x14ac:dyDescent="0.25">
      <c r="A753" s="47" t="s">
        <v>308</v>
      </c>
    </row>
    <row r="754" spans="1:1" x14ac:dyDescent="0.25">
      <c r="A754" s="47" t="s">
        <v>309</v>
      </c>
    </row>
    <row r="755" spans="1:1" x14ac:dyDescent="0.25">
      <c r="A755" s="47" t="s">
        <v>310</v>
      </c>
    </row>
    <row r="756" spans="1:1" x14ac:dyDescent="0.25">
      <c r="A756" s="47" t="s">
        <v>311</v>
      </c>
    </row>
    <row r="757" spans="1:1" x14ac:dyDescent="0.25">
      <c r="A757" s="47" t="s">
        <v>312</v>
      </c>
    </row>
    <row r="758" spans="1:1" x14ac:dyDescent="0.25">
      <c r="A758" s="47" t="s">
        <v>313</v>
      </c>
    </row>
    <row r="759" spans="1:1" x14ac:dyDescent="0.25">
      <c r="A759" s="47" t="s">
        <v>314</v>
      </c>
    </row>
    <row r="760" spans="1:1" x14ac:dyDescent="0.25">
      <c r="A760" s="47" t="s">
        <v>315</v>
      </c>
    </row>
    <row r="761" spans="1:1" x14ac:dyDescent="0.25">
      <c r="A761" s="47" t="s">
        <v>316</v>
      </c>
    </row>
    <row r="762" spans="1:1" x14ac:dyDescent="0.25">
      <c r="A762" s="47" t="s">
        <v>317</v>
      </c>
    </row>
    <row r="763" spans="1:1" x14ac:dyDescent="0.25">
      <c r="A763" s="47" t="s">
        <v>318</v>
      </c>
    </row>
    <row r="764" spans="1:1" x14ac:dyDescent="0.25">
      <c r="A764" s="47" t="s">
        <v>319</v>
      </c>
    </row>
    <row r="765" spans="1:1" x14ac:dyDescent="0.25">
      <c r="A765" s="47" t="s">
        <v>320</v>
      </c>
    </row>
    <row r="766" spans="1:1" x14ac:dyDescent="0.25">
      <c r="A766" s="47" t="s">
        <v>321</v>
      </c>
    </row>
    <row r="767" spans="1:1" x14ac:dyDescent="0.25">
      <c r="A767" s="47" t="s">
        <v>322</v>
      </c>
    </row>
    <row r="768" spans="1:1" x14ac:dyDescent="0.25">
      <c r="A768" s="47" t="s">
        <v>323</v>
      </c>
    </row>
    <row r="769" spans="1:1" x14ac:dyDescent="0.25">
      <c r="A769" s="47" t="s">
        <v>324</v>
      </c>
    </row>
    <row r="770" spans="1:1" x14ac:dyDescent="0.25">
      <c r="A770" s="47" t="s">
        <v>325</v>
      </c>
    </row>
    <row r="771" spans="1:1" x14ac:dyDescent="0.25">
      <c r="A771" s="47" t="s">
        <v>326</v>
      </c>
    </row>
    <row r="772" spans="1:1" x14ac:dyDescent="0.25">
      <c r="A772" s="47" t="s">
        <v>327</v>
      </c>
    </row>
    <row r="773" spans="1:1" x14ac:dyDescent="0.25">
      <c r="A773" s="47" t="s">
        <v>328</v>
      </c>
    </row>
    <row r="774" spans="1:1" x14ac:dyDescent="0.25">
      <c r="A774" s="47" t="s">
        <v>329</v>
      </c>
    </row>
    <row r="775" spans="1:1" x14ac:dyDescent="0.25">
      <c r="A775" s="47" t="s">
        <v>330</v>
      </c>
    </row>
    <row r="776" spans="1:1" x14ac:dyDescent="0.25">
      <c r="A776" s="47" t="s">
        <v>331</v>
      </c>
    </row>
    <row r="777" spans="1:1" x14ac:dyDescent="0.25">
      <c r="A777" s="47" t="s">
        <v>332</v>
      </c>
    </row>
    <row r="778" spans="1:1" x14ac:dyDescent="0.25">
      <c r="A778" s="47" t="s">
        <v>333</v>
      </c>
    </row>
    <row r="779" spans="1:1" x14ac:dyDescent="0.25">
      <c r="A779" s="47" t="s">
        <v>334</v>
      </c>
    </row>
    <row r="780" spans="1:1" x14ac:dyDescent="0.25">
      <c r="A780" s="47" t="s">
        <v>335</v>
      </c>
    </row>
    <row r="781" spans="1:1" x14ac:dyDescent="0.25">
      <c r="A781" s="47" t="s">
        <v>336</v>
      </c>
    </row>
    <row r="782" spans="1:1" x14ac:dyDescent="0.25">
      <c r="A782" s="47" t="s">
        <v>337</v>
      </c>
    </row>
    <row r="783" spans="1:1" x14ac:dyDescent="0.25">
      <c r="A783" s="47" t="s">
        <v>338</v>
      </c>
    </row>
    <row r="784" spans="1:1" x14ac:dyDescent="0.25">
      <c r="A784" s="47" t="s">
        <v>339</v>
      </c>
    </row>
    <row r="785" spans="1:1" x14ac:dyDescent="0.25">
      <c r="A785" s="47" t="s">
        <v>340</v>
      </c>
    </row>
    <row r="786" spans="1:1" x14ac:dyDescent="0.25">
      <c r="A786" s="47" t="s">
        <v>341</v>
      </c>
    </row>
    <row r="787" spans="1:1" x14ac:dyDescent="0.25">
      <c r="A787" s="47" t="s">
        <v>342</v>
      </c>
    </row>
    <row r="788" spans="1:1" x14ac:dyDescent="0.25">
      <c r="A788" s="47" t="s">
        <v>343</v>
      </c>
    </row>
    <row r="789" spans="1:1" x14ac:dyDescent="0.25">
      <c r="A789" s="47" t="s">
        <v>344</v>
      </c>
    </row>
    <row r="790" spans="1:1" x14ac:dyDescent="0.25">
      <c r="A790" s="47" t="s">
        <v>345</v>
      </c>
    </row>
    <row r="791" spans="1:1" x14ac:dyDescent="0.25">
      <c r="A791" s="47" t="s">
        <v>346</v>
      </c>
    </row>
    <row r="792" spans="1:1" x14ac:dyDescent="0.25">
      <c r="A792" s="47" t="s">
        <v>347</v>
      </c>
    </row>
    <row r="793" spans="1:1" x14ac:dyDescent="0.25">
      <c r="A793" s="47" t="s">
        <v>348</v>
      </c>
    </row>
    <row r="794" spans="1:1" x14ac:dyDescent="0.25">
      <c r="A794" s="47" t="s">
        <v>349</v>
      </c>
    </row>
    <row r="795" spans="1:1" x14ac:dyDescent="0.25">
      <c r="A795" s="47" t="s">
        <v>350</v>
      </c>
    </row>
    <row r="796" spans="1:1" x14ac:dyDescent="0.25">
      <c r="A796" s="47" t="s">
        <v>351</v>
      </c>
    </row>
    <row r="797" spans="1:1" x14ac:dyDescent="0.25">
      <c r="A797" s="47" t="s">
        <v>352</v>
      </c>
    </row>
    <row r="798" spans="1:1" x14ac:dyDescent="0.25">
      <c r="A798" s="47" t="s">
        <v>353</v>
      </c>
    </row>
    <row r="799" spans="1:1" x14ac:dyDescent="0.25">
      <c r="A799" s="47" t="s">
        <v>354</v>
      </c>
    </row>
    <row r="800" spans="1:1" x14ac:dyDescent="0.25">
      <c r="A800" s="47" t="s">
        <v>355</v>
      </c>
    </row>
    <row r="801" spans="1:1" x14ac:dyDescent="0.25">
      <c r="A801" s="47" t="s">
        <v>356</v>
      </c>
    </row>
    <row r="802" spans="1:1" x14ac:dyDescent="0.25">
      <c r="A802" s="47" t="s">
        <v>357</v>
      </c>
    </row>
    <row r="803" spans="1:1" x14ac:dyDescent="0.25">
      <c r="A803" s="47" t="s">
        <v>358</v>
      </c>
    </row>
    <row r="804" spans="1:1" x14ac:dyDescent="0.25">
      <c r="A804" s="47" t="s">
        <v>359</v>
      </c>
    </row>
    <row r="805" spans="1:1" x14ac:dyDescent="0.25">
      <c r="A805" s="47" t="s">
        <v>360</v>
      </c>
    </row>
    <row r="806" spans="1:1" x14ac:dyDescent="0.25">
      <c r="A806" s="47" t="s">
        <v>361</v>
      </c>
    </row>
    <row r="807" spans="1:1" x14ac:dyDescent="0.25">
      <c r="A807" s="47" t="s">
        <v>362</v>
      </c>
    </row>
    <row r="808" spans="1:1" x14ac:dyDescent="0.25">
      <c r="A808" s="47" t="s">
        <v>363</v>
      </c>
    </row>
    <row r="809" spans="1:1" x14ac:dyDescent="0.25">
      <c r="A809" s="47" t="s">
        <v>364</v>
      </c>
    </row>
    <row r="810" spans="1:1" x14ac:dyDescent="0.25">
      <c r="A810" s="47" t="s">
        <v>365</v>
      </c>
    </row>
    <row r="811" spans="1:1" x14ac:dyDescent="0.25">
      <c r="A811" s="47" t="s">
        <v>366</v>
      </c>
    </row>
    <row r="812" spans="1:1" x14ac:dyDescent="0.25">
      <c r="A812" s="47" t="s">
        <v>367</v>
      </c>
    </row>
    <row r="813" spans="1:1" x14ac:dyDescent="0.25">
      <c r="A813" s="47" t="s">
        <v>368</v>
      </c>
    </row>
    <row r="814" spans="1:1" x14ac:dyDescent="0.25">
      <c r="A814" s="47" t="s">
        <v>369</v>
      </c>
    </row>
    <row r="815" spans="1:1" x14ac:dyDescent="0.25">
      <c r="A815" s="47" t="s">
        <v>370</v>
      </c>
    </row>
    <row r="816" spans="1:1" x14ac:dyDescent="0.25">
      <c r="A816" s="47" t="s">
        <v>371</v>
      </c>
    </row>
    <row r="817" spans="1:1" x14ac:dyDescent="0.25">
      <c r="A817" s="47" t="s">
        <v>372</v>
      </c>
    </row>
    <row r="818" spans="1:1" x14ac:dyDescent="0.25">
      <c r="A818" s="47" t="s">
        <v>373</v>
      </c>
    </row>
    <row r="819" spans="1:1" x14ac:dyDescent="0.25">
      <c r="A819" s="47" t="s">
        <v>374</v>
      </c>
    </row>
    <row r="820" spans="1:1" x14ac:dyDescent="0.25">
      <c r="A820" s="47" t="s">
        <v>375</v>
      </c>
    </row>
    <row r="821" spans="1:1" x14ac:dyDescent="0.25">
      <c r="A821" s="47" t="s">
        <v>376</v>
      </c>
    </row>
    <row r="822" spans="1:1" x14ac:dyDescent="0.25">
      <c r="A822" s="47" t="s">
        <v>377</v>
      </c>
    </row>
    <row r="823" spans="1:1" x14ac:dyDescent="0.25">
      <c r="A823" s="47" t="s">
        <v>378</v>
      </c>
    </row>
    <row r="824" spans="1:1" x14ac:dyDescent="0.25">
      <c r="A824" s="47" t="s">
        <v>379</v>
      </c>
    </row>
    <row r="825" spans="1:1" x14ac:dyDescent="0.25">
      <c r="A825" s="47" t="s">
        <v>380</v>
      </c>
    </row>
    <row r="826" spans="1:1" x14ac:dyDescent="0.25">
      <c r="A826" s="47" t="s">
        <v>381</v>
      </c>
    </row>
    <row r="827" spans="1:1" x14ac:dyDescent="0.25">
      <c r="A827" s="47" t="s">
        <v>382</v>
      </c>
    </row>
    <row r="828" spans="1:1" x14ac:dyDescent="0.25">
      <c r="A828" s="47" t="s">
        <v>383</v>
      </c>
    </row>
    <row r="829" spans="1:1" x14ac:dyDescent="0.25">
      <c r="A829" s="47" t="s">
        <v>384</v>
      </c>
    </row>
    <row r="830" spans="1:1" x14ac:dyDescent="0.25">
      <c r="A830" s="47" t="s">
        <v>385</v>
      </c>
    </row>
    <row r="831" spans="1:1" x14ac:dyDescent="0.25">
      <c r="A831" s="47" t="s">
        <v>386</v>
      </c>
    </row>
    <row r="832" spans="1:1" x14ac:dyDescent="0.25">
      <c r="A832" s="47" t="s">
        <v>387</v>
      </c>
    </row>
    <row r="833" spans="1:1" x14ac:dyDescent="0.25">
      <c r="A833" s="47" t="s">
        <v>388</v>
      </c>
    </row>
    <row r="834" spans="1:1" x14ac:dyDescent="0.25">
      <c r="A834" s="47" t="s">
        <v>389</v>
      </c>
    </row>
    <row r="835" spans="1:1" x14ac:dyDescent="0.25">
      <c r="A835" s="47" t="s">
        <v>390</v>
      </c>
    </row>
    <row r="836" spans="1:1" x14ac:dyDescent="0.25">
      <c r="A836" s="47" t="s">
        <v>391</v>
      </c>
    </row>
    <row r="837" spans="1:1" x14ac:dyDescent="0.25">
      <c r="A837" s="47" t="s">
        <v>392</v>
      </c>
    </row>
    <row r="838" spans="1:1" x14ac:dyDescent="0.25">
      <c r="A838" s="47" t="s">
        <v>393</v>
      </c>
    </row>
    <row r="839" spans="1:1" x14ac:dyDescent="0.25">
      <c r="A839" s="47" t="s">
        <v>394</v>
      </c>
    </row>
    <row r="840" spans="1:1" x14ac:dyDescent="0.25">
      <c r="A840" s="47" t="s">
        <v>395</v>
      </c>
    </row>
    <row r="841" spans="1:1" x14ac:dyDescent="0.25">
      <c r="A841" s="47" t="s">
        <v>396</v>
      </c>
    </row>
    <row r="842" spans="1:1" x14ac:dyDescent="0.25">
      <c r="A842" s="47" t="s">
        <v>397</v>
      </c>
    </row>
    <row r="843" spans="1:1" x14ac:dyDescent="0.25">
      <c r="A843" s="47" t="s">
        <v>398</v>
      </c>
    </row>
    <row r="844" spans="1:1" x14ac:dyDescent="0.25">
      <c r="A844" s="47" t="s">
        <v>399</v>
      </c>
    </row>
    <row r="845" spans="1:1" x14ac:dyDescent="0.25">
      <c r="A845" s="47" t="s">
        <v>400</v>
      </c>
    </row>
    <row r="846" spans="1:1" x14ac:dyDescent="0.25">
      <c r="A846" s="47" t="s">
        <v>401</v>
      </c>
    </row>
    <row r="847" spans="1:1" x14ac:dyDescent="0.25">
      <c r="A847" s="47" t="s">
        <v>402</v>
      </c>
    </row>
    <row r="848" spans="1:1" x14ac:dyDescent="0.25">
      <c r="A848" s="47" t="s">
        <v>403</v>
      </c>
    </row>
    <row r="849" spans="1:1" x14ac:dyDescent="0.25">
      <c r="A849" s="47" t="s">
        <v>404</v>
      </c>
    </row>
    <row r="850" spans="1:1" x14ac:dyDescent="0.25">
      <c r="A850" s="47" t="s">
        <v>405</v>
      </c>
    </row>
    <row r="851" spans="1:1" x14ac:dyDescent="0.25">
      <c r="A851" s="47" t="s">
        <v>406</v>
      </c>
    </row>
    <row r="852" spans="1:1" x14ac:dyDescent="0.25">
      <c r="A852" s="47" t="s">
        <v>407</v>
      </c>
    </row>
    <row r="853" spans="1:1" x14ac:dyDescent="0.25">
      <c r="A853" s="47" t="s">
        <v>408</v>
      </c>
    </row>
    <row r="854" spans="1:1" x14ac:dyDescent="0.25">
      <c r="A854" s="47" t="s">
        <v>409</v>
      </c>
    </row>
    <row r="855" spans="1:1" x14ac:dyDescent="0.25">
      <c r="A855" s="47" t="s">
        <v>410</v>
      </c>
    </row>
    <row r="856" spans="1:1" x14ac:dyDescent="0.25">
      <c r="A856" s="47" t="s">
        <v>411</v>
      </c>
    </row>
    <row r="857" spans="1:1" x14ac:dyDescent="0.25">
      <c r="A857" s="47" t="s">
        <v>412</v>
      </c>
    </row>
  </sheetData>
  <phoneticPr fontId="27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pageSetUpPr fitToPage="1"/>
  </sheetPr>
  <dimension ref="B2:M68"/>
  <sheetViews>
    <sheetView view="pageBreakPreview" zoomScale="55" zoomScaleNormal="85" zoomScaleSheetLayoutView="55" workbookViewId="0">
      <selection activeCell="C4" sqref="C4:E4"/>
    </sheetView>
  </sheetViews>
  <sheetFormatPr defaultColWidth="23.7109375" defaultRowHeight="15" x14ac:dyDescent="0.25"/>
  <cols>
    <col min="8" max="8" width="23.7109375" style="85"/>
  </cols>
  <sheetData>
    <row r="2" spans="2:13" s="88" customFormat="1" x14ac:dyDescent="0.25">
      <c r="B2" s="89"/>
      <c r="C2" s="203" t="s">
        <v>741</v>
      </c>
      <c r="D2" s="204"/>
      <c r="E2" s="204"/>
      <c r="F2" s="204"/>
      <c r="G2" s="205"/>
      <c r="H2" s="102" t="s">
        <v>739</v>
      </c>
      <c r="I2" s="191" t="s">
        <v>742</v>
      </c>
      <c r="J2" s="192"/>
      <c r="K2" s="193"/>
      <c r="L2" s="103" t="s">
        <v>717</v>
      </c>
    </row>
    <row r="3" spans="2:13" s="88" customFormat="1" x14ac:dyDescent="0.25">
      <c r="B3" s="91" t="s">
        <v>701</v>
      </c>
      <c r="C3" s="93" t="s">
        <v>595</v>
      </c>
      <c r="D3" s="93" t="s">
        <v>640</v>
      </c>
      <c r="E3" s="93" t="s">
        <v>594</v>
      </c>
      <c r="F3" s="93" t="s">
        <v>640</v>
      </c>
      <c r="G3" s="93" t="s">
        <v>640</v>
      </c>
      <c r="H3" s="102" t="s">
        <v>740</v>
      </c>
      <c r="I3" s="107" t="s">
        <v>595</v>
      </c>
      <c r="J3" s="107" t="s">
        <v>594</v>
      </c>
      <c r="K3" s="107" t="s">
        <v>640</v>
      </c>
      <c r="L3" s="104" t="s">
        <v>595</v>
      </c>
    </row>
    <row r="4" spans="2:13" s="82" customFormat="1" x14ac:dyDescent="0.25">
      <c r="B4" s="91" t="s">
        <v>1229</v>
      </c>
      <c r="C4" s="91">
        <v>-5</v>
      </c>
      <c r="D4" s="91">
        <v>-4</v>
      </c>
      <c r="E4" s="91">
        <v>-3</v>
      </c>
      <c r="F4" s="91">
        <v>-2</v>
      </c>
      <c r="G4" s="91">
        <v>-1</v>
      </c>
      <c r="H4" s="92">
        <v>0</v>
      </c>
      <c r="I4" s="91">
        <v>1</v>
      </c>
      <c r="J4" s="91">
        <v>2</v>
      </c>
      <c r="K4" s="91">
        <v>3</v>
      </c>
      <c r="L4" s="91">
        <v>4</v>
      </c>
    </row>
    <row r="5" spans="2:13" s="88" customFormat="1" x14ac:dyDescent="0.25">
      <c r="B5" s="91" t="s">
        <v>743</v>
      </c>
      <c r="C5" s="106" t="s">
        <v>1238</v>
      </c>
      <c r="D5" s="93" t="s">
        <v>714</v>
      </c>
      <c r="E5" s="93" t="s">
        <v>713</v>
      </c>
      <c r="F5" s="93" t="s">
        <v>712</v>
      </c>
      <c r="G5" s="93" t="s">
        <v>711</v>
      </c>
      <c r="H5" s="102" t="s">
        <v>710</v>
      </c>
      <c r="I5" s="107" t="s">
        <v>708</v>
      </c>
      <c r="J5" s="107" t="s">
        <v>699</v>
      </c>
      <c r="K5" s="107" t="s">
        <v>599</v>
      </c>
      <c r="L5" s="104" t="s">
        <v>709</v>
      </c>
    </row>
    <row r="6" spans="2:13" s="88" customFormat="1" x14ac:dyDescent="0.25">
      <c r="B6" s="91" t="s">
        <v>744</v>
      </c>
      <c r="C6" s="93" t="s">
        <v>709</v>
      </c>
      <c r="D6" s="93" t="s">
        <v>709</v>
      </c>
      <c r="E6" s="93" t="s">
        <v>709</v>
      </c>
      <c r="F6" s="93" t="s">
        <v>708</v>
      </c>
      <c r="G6" s="93" t="s">
        <v>708</v>
      </c>
      <c r="H6" s="102" t="s">
        <v>710</v>
      </c>
      <c r="I6" s="107" t="s">
        <v>699</v>
      </c>
      <c r="J6" s="107" t="s">
        <v>599</v>
      </c>
      <c r="K6" s="107" t="s">
        <v>709</v>
      </c>
      <c r="L6" s="102" t="s">
        <v>710</v>
      </c>
    </row>
    <row r="7" spans="2:13" s="88" customFormat="1" x14ac:dyDescent="0.25">
      <c r="B7" s="90"/>
      <c r="C7" s="105"/>
      <c r="D7" s="101"/>
      <c r="E7" s="101"/>
      <c r="F7" s="101"/>
      <c r="G7" s="101"/>
      <c r="H7" s="101"/>
      <c r="I7" s="101"/>
      <c r="J7" s="101"/>
      <c r="K7" s="101"/>
      <c r="L7" s="104" t="s">
        <v>711</v>
      </c>
      <c r="M7" s="216" t="s">
        <v>1228</v>
      </c>
    </row>
    <row r="8" spans="2:13" s="88" customFormat="1" x14ac:dyDescent="0.25">
      <c r="C8" s="85"/>
      <c r="D8" s="101"/>
      <c r="E8" s="101"/>
      <c r="F8" s="101"/>
      <c r="G8" s="101"/>
      <c r="H8" s="101"/>
      <c r="I8" s="101"/>
      <c r="J8" s="101"/>
      <c r="K8" s="101"/>
      <c r="L8" s="104" t="s">
        <v>712</v>
      </c>
      <c r="M8" s="216"/>
    </row>
    <row r="9" spans="2:13" s="88" customFormat="1" x14ac:dyDescent="0.25">
      <c r="C9" s="85"/>
      <c r="D9" s="101"/>
      <c r="E9" s="101"/>
      <c r="F9" s="101"/>
      <c r="G9" s="101"/>
      <c r="H9" s="101"/>
      <c r="I9" s="101"/>
      <c r="J9" s="101"/>
      <c r="K9" s="101"/>
      <c r="L9" s="104" t="s">
        <v>713</v>
      </c>
      <c r="M9" s="216"/>
    </row>
    <row r="10" spans="2:13" s="88" customFormat="1" x14ac:dyDescent="0.25">
      <c r="C10" s="85"/>
      <c r="D10" s="101"/>
      <c r="E10" s="101"/>
      <c r="F10" s="101"/>
      <c r="G10" s="101"/>
      <c r="H10" s="101"/>
      <c r="I10" s="101"/>
      <c r="J10" s="101"/>
      <c r="K10" s="101"/>
      <c r="L10" s="104" t="s">
        <v>714</v>
      </c>
      <c r="M10" s="216"/>
    </row>
    <row r="13" spans="2:13" ht="15" customHeight="1" x14ac:dyDescent="0.25">
      <c r="B13" s="195" t="s">
        <v>716</v>
      </c>
      <c r="C13" s="94"/>
      <c r="D13" s="84" t="s">
        <v>599</v>
      </c>
      <c r="E13" s="84" t="s">
        <v>699</v>
      </c>
      <c r="F13" s="84" t="s">
        <v>599</v>
      </c>
      <c r="G13" s="84" t="s">
        <v>599</v>
      </c>
      <c r="H13" s="86"/>
      <c r="I13" s="84" t="s">
        <v>599</v>
      </c>
      <c r="J13" s="84" t="s">
        <v>699</v>
      </c>
      <c r="K13" s="84" t="s">
        <v>599</v>
      </c>
      <c r="L13" s="84" t="s">
        <v>599</v>
      </c>
    </row>
    <row r="14" spans="2:13" x14ac:dyDescent="0.25">
      <c r="B14" s="195"/>
      <c r="C14" s="94"/>
      <c r="D14" s="84" t="s">
        <v>618</v>
      </c>
      <c r="E14" s="84"/>
      <c r="F14" s="84" t="s">
        <v>618</v>
      </c>
      <c r="G14" s="84" t="s">
        <v>618</v>
      </c>
      <c r="H14" s="86"/>
      <c r="I14" s="84" t="s">
        <v>618</v>
      </c>
      <c r="J14" s="84"/>
      <c r="K14" s="84" t="s">
        <v>618</v>
      </c>
      <c r="L14" s="84" t="s">
        <v>618</v>
      </c>
    </row>
    <row r="15" spans="2:13" x14ac:dyDescent="0.25">
      <c r="B15" s="195"/>
      <c r="C15" s="94"/>
      <c r="D15" s="84" t="s">
        <v>699</v>
      </c>
      <c r="E15" s="84"/>
      <c r="F15" s="84" t="s">
        <v>699</v>
      </c>
      <c r="G15" s="84" t="s">
        <v>699</v>
      </c>
      <c r="H15" s="86"/>
      <c r="I15" s="84" t="s">
        <v>666</v>
      </c>
      <c r="J15" s="84"/>
      <c r="K15" s="84" t="s">
        <v>699</v>
      </c>
      <c r="L15" s="84" t="s">
        <v>666</v>
      </c>
    </row>
    <row r="16" spans="2:13" x14ac:dyDescent="0.25">
      <c r="B16" s="195"/>
      <c r="C16" s="94"/>
      <c r="D16" s="84" t="s">
        <v>666</v>
      </c>
      <c r="E16" s="84"/>
      <c r="F16" s="84" t="s">
        <v>666</v>
      </c>
      <c r="G16" s="84" t="s">
        <v>666</v>
      </c>
      <c r="H16" s="86"/>
      <c r="I16" s="84"/>
      <c r="J16" s="84"/>
      <c r="K16" s="84" t="s">
        <v>666</v>
      </c>
      <c r="L16" s="84"/>
    </row>
    <row r="19" spans="2:13" x14ac:dyDescent="0.25">
      <c r="D19" s="196" t="s">
        <v>738</v>
      </c>
      <c r="E19" s="196"/>
      <c r="F19" s="196"/>
    </row>
    <row r="20" spans="2:13" x14ac:dyDescent="0.25">
      <c r="B20" s="44" t="s">
        <v>701</v>
      </c>
      <c r="C20" s="96"/>
      <c r="D20" s="43" t="s">
        <v>595</v>
      </c>
      <c r="E20" s="43" t="s">
        <v>594</v>
      </c>
      <c r="F20" s="43" t="s">
        <v>640</v>
      </c>
    </row>
    <row r="21" spans="2:13" s="42" customFormat="1" x14ac:dyDescent="0.25">
      <c r="B21" s="206" t="s">
        <v>715</v>
      </c>
      <c r="C21" s="95"/>
      <c r="D21" s="84" t="s">
        <v>599</v>
      </c>
      <c r="E21" s="84" t="s">
        <v>599</v>
      </c>
      <c r="F21" s="84" t="s">
        <v>599</v>
      </c>
      <c r="H21" s="87"/>
    </row>
    <row r="22" spans="2:13" x14ac:dyDescent="0.25">
      <c r="B22" s="206"/>
      <c r="C22" s="95"/>
      <c r="D22" s="84" t="s">
        <v>618</v>
      </c>
      <c r="E22" s="84" t="s">
        <v>618</v>
      </c>
      <c r="F22" s="84" t="s">
        <v>618</v>
      </c>
    </row>
    <row r="23" spans="2:13" x14ac:dyDescent="0.25">
      <c r="B23" s="206"/>
      <c r="C23" s="95"/>
      <c r="D23" s="84" t="s">
        <v>666</v>
      </c>
      <c r="E23" s="84" t="s">
        <v>699</v>
      </c>
      <c r="F23" s="84" t="s">
        <v>699</v>
      </c>
    </row>
    <row r="24" spans="2:13" x14ac:dyDescent="0.25">
      <c r="B24" s="206"/>
      <c r="C24" s="95"/>
      <c r="D24" s="84"/>
      <c r="E24" s="84"/>
      <c r="F24" s="84" t="s">
        <v>666</v>
      </c>
    </row>
    <row r="28" spans="2:13" x14ac:dyDescent="0.25">
      <c r="D28" s="196" t="s">
        <v>738</v>
      </c>
      <c r="E28" s="196"/>
      <c r="F28" s="196"/>
      <c r="J28" s="197" t="s">
        <v>738</v>
      </c>
      <c r="K28" s="198"/>
      <c r="L28" s="199"/>
    </row>
    <row r="29" spans="2:13" x14ac:dyDescent="0.25">
      <c r="B29" s="207" t="s">
        <v>707</v>
      </c>
      <c r="C29" s="96"/>
      <c r="D29" s="194" t="s">
        <v>728</v>
      </c>
      <c r="E29" s="194"/>
      <c r="F29" s="194"/>
      <c r="I29" s="208" t="s">
        <v>723</v>
      </c>
      <c r="J29" s="200" t="s">
        <v>724</v>
      </c>
      <c r="K29" s="201"/>
      <c r="L29" s="202"/>
    </row>
    <row r="30" spans="2:13" x14ac:dyDescent="0.25">
      <c r="B30" s="207"/>
      <c r="C30" s="96"/>
      <c r="D30" s="194" t="s">
        <v>716</v>
      </c>
      <c r="E30" s="194"/>
      <c r="F30" s="194"/>
      <c r="I30" s="209"/>
      <c r="J30" s="200" t="s">
        <v>725</v>
      </c>
      <c r="K30" s="201"/>
      <c r="L30" s="202"/>
      <c r="M30" s="42"/>
    </row>
    <row r="31" spans="2:13" x14ac:dyDescent="0.25">
      <c r="B31" s="207"/>
      <c r="C31" s="96"/>
      <c r="D31" s="194"/>
      <c r="E31" s="194"/>
      <c r="F31" s="194"/>
      <c r="I31" s="209"/>
      <c r="J31" s="200" t="s">
        <v>726</v>
      </c>
      <c r="K31" s="201"/>
      <c r="L31" s="202"/>
    </row>
    <row r="32" spans="2:13" x14ac:dyDescent="0.25">
      <c r="B32" s="211" t="s">
        <v>736</v>
      </c>
      <c r="C32" s="211"/>
      <c r="D32" s="211"/>
      <c r="E32" s="211"/>
      <c r="F32" s="211"/>
      <c r="I32" s="209"/>
      <c r="J32" s="200" t="s">
        <v>727</v>
      </c>
      <c r="K32" s="201"/>
      <c r="L32" s="202"/>
    </row>
    <row r="33" spans="2:13" x14ac:dyDescent="0.25">
      <c r="I33" s="209"/>
      <c r="J33" s="200" t="s">
        <v>732</v>
      </c>
      <c r="K33" s="201"/>
      <c r="L33" s="202"/>
    </row>
    <row r="34" spans="2:13" x14ac:dyDescent="0.25">
      <c r="I34" s="210"/>
      <c r="J34" s="200" t="s">
        <v>733</v>
      </c>
      <c r="K34" s="201"/>
      <c r="L34" s="202"/>
    </row>
    <row r="35" spans="2:13" x14ac:dyDescent="0.25">
      <c r="D35" s="196" t="s">
        <v>738</v>
      </c>
      <c r="E35" s="196"/>
      <c r="F35" s="196"/>
    </row>
    <row r="36" spans="2:13" x14ac:dyDescent="0.25">
      <c r="B36" s="212" t="s">
        <v>700</v>
      </c>
      <c r="C36" s="97"/>
      <c r="D36" s="194" t="s">
        <v>730</v>
      </c>
      <c r="E36" s="194"/>
      <c r="F36" s="194"/>
    </row>
    <row r="37" spans="2:13" x14ac:dyDescent="0.25">
      <c r="B37" s="213"/>
      <c r="C37" s="98"/>
      <c r="D37" s="194" t="s">
        <v>706</v>
      </c>
      <c r="E37" s="194"/>
      <c r="F37" s="194"/>
      <c r="J37" s="197" t="s">
        <v>738</v>
      </c>
      <c r="K37" s="198"/>
      <c r="L37" s="199"/>
    </row>
    <row r="38" spans="2:13" x14ac:dyDescent="0.25">
      <c r="B38" s="213"/>
      <c r="C38" s="98"/>
      <c r="D38" s="194"/>
      <c r="E38" s="194"/>
      <c r="F38" s="194"/>
      <c r="I38" s="207" t="s">
        <v>745</v>
      </c>
      <c r="J38" s="194" t="s">
        <v>609</v>
      </c>
      <c r="K38" s="194"/>
      <c r="L38" s="194"/>
      <c r="M38" t="s">
        <v>1227</v>
      </c>
    </row>
    <row r="39" spans="2:13" x14ac:dyDescent="0.25">
      <c r="B39" s="213"/>
      <c r="C39" s="98"/>
      <c r="D39" s="194" t="s">
        <v>703</v>
      </c>
      <c r="E39" s="194"/>
      <c r="F39" s="194"/>
      <c r="I39" s="207"/>
      <c r="J39" s="194" t="s">
        <v>611</v>
      </c>
      <c r="K39" s="194"/>
      <c r="L39" s="194"/>
      <c r="M39" t="s">
        <v>1227</v>
      </c>
    </row>
    <row r="40" spans="2:13" x14ac:dyDescent="0.25">
      <c r="B40" s="214"/>
      <c r="C40" s="100"/>
      <c r="D40" s="200" t="s">
        <v>771</v>
      </c>
      <c r="E40" s="201"/>
      <c r="F40" s="202"/>
      <c r="I40" s="207"/>
      <c r="J40" s="194" t="s">
        <v>746</v>
      </c>
      <c r="K40" s="194"/>
      <c r="L40" s="194"/>
      <c r="M40" t="s">
        <v>1227</v>
      </c>
    </row>
    <row r="41" spans="2:13" x14ac:dyDescent="0.25">
      <c r="B41" s="211" t="s">
        <v>735</v>
      </c>
      <c r="C41" s="211"/>
      <c r="D41" s="211"/>
      <c r="E41" s="211"/>
      <c r="F41" s="211"/>
      <c r="I41" s="207"/>
      <c r="J41" s="194" t="s">
        <v>747</v>
      </c>
      <c r="K41" s="194"/>
      <c r="L41" s="194"/>
      <c r="M41" t="s">
        <v>1227</v>
      </c>
    </row>
    <row r="42" spans="2:13" x14ac:dyDescent="0.25">
      <c r="I42" s="207"/>
      <c r="J42" s="194" t="s">
        <v>748</v>
      </c>
      <c r="K42" s="194"/>
      <c r="L42" s="194"/>
      <c r="M42" t="s">
        <v>1227</v>
      </c>
    </row>
    <row r="43" spans="2:13" x14ac:dyDescent="0.25">
      <c r="I43" s="207"/>
      <c r="J43" s="194" t="s">
        <v>749</v>
      </c>
      <c r="K43" s="194"/>
      <c r="L43" s="194"/>
      <c r="M43" t="s">
        <v>618</v>
      </c>
    </row>
    <row r="44" spans="2:13" x14ac:dyDescent="0.25">
      <c r="D44" s="196" t="s">
        <v>738</v>
      </c>
      <c r="E44" s="196"/>
      <c r="F44" s="196"/>
      <c r="I44" s="207"/>
      <c r="J44" s="194" t="s">
        <v>582</v>
      </c>
      <c r="K44" s="194"/>
      <c r="L44" s="194"/>
      <c r="M44" t="s">
        <v>618</v>
      </c>
    </row>
    <row r="45" spans="2:13" x14ac:dyDescent="0.25">
      <c r="B45" s="207" t="s">
        <v>719</v>
      </c>
      <c r="C45" s="96"/>
      <c r="D45" s="194" t="s">
        <v>731</v>
      </c>
      <c r="E45" s="194"/>
      <c r="F45" s="194"/>
      <c r="I45" s="207"/>
      <c r="J45" s="194" t="s">
        <v>750</v>
      </c>
      <c r="K45" s="194"/>
      <c r="L45" s="194"/>
      <c r="M45" t="s">
        <v>618</v>
      </c>
    </row>
    <row r="46" spans="2:13" x14ac:dyDescent="0.25">
      <c r="B46" s="207"/>
      <c r="C46" s="96"/>
      <c r="D46" s="194" t="s">
        <v>720</v>
      </c>
      <c r="E46" s="194"/>
      <c r="F46" s="194"/>
      <c r="I46" s="207"/>
      <c r="J46" s="194" t="s">
        <v>618</v>
      </c>
      <c r="K46" s="194"/>
      <c r="L46" s="194"/>
      <c r="M46" t="s">
        <v>618</v>
      </c>
    </row>
    <row r="47" spans="2:13" x14ac:dyDescent="0.25">
      <c r="B47" s="207"/>
      <c r="C47" s="95"/>
      <c r="D47" s="200" t="s">
        <v>721</v>
      </c>
      <c r="E47" s="201"/>
      <c r="F47" s="202"/>
      <c r="I47" s="207"/>
      <c r="J47" s="194" t="s">
        <v>670</v>
      </c>
      <c r="K47" s="194"/>
      <c r="L47" s="194"/>
      <c r="M47" t="s">
        <v>618</v>
      </c>
    </row>
    <row r="48" spans="2:13" x14ac:dyDescent="0.25">
      <c r="B48" s="207"/>
      <c r="C48" s="95"/>
      <c r="D48" s="200" t="s">
        <v>722</v>
      </c>
      <c r="E48" s="201"/>
      <c r="F48" s="202"/>
      <c r="I48" s="207"/>
      <c r="J48" s="194" t="s">
        <v>705</v>
      </c>
      <c r="K48" s="194"/>
      <c r="L48" s="194"/>
      <c r="M48" t="s">
        <v>773</v>
      </c>
    </row>
    <row r="49" spans="2:13" x14ac:dyDescent="0.25">
      <c r="B49" s="211" t="s">
        <v>734</v>
      </c>
      <c r="C49" s="211"/>
      <c r="D49" s="211"/>
      <c r="E49" s="211"/>
      <c r="F49" s="211"/>
      <c r="I49" s="207"/>
      <c r="J49" s="194" t="s">
        <v>619</v>
      </c>
      <c r="K49" s="194"/>
      <c r="L49" s="194"/>
      <c r="M49" t="s">
        <v>773</v>
      </c>
    </row>
    <row r="50" spans="2:13" x14ac:dyDescent="0.25">
      <c r="I50" s="207"/>
      <c r="J50" s="194" t="s">
        <v>666</v>
      </c>
      <c r="K50" s="194"/>
      <c r="L50" s="194"/>
      <c r="M50" t="s">
        <v>773</v>
      </c>
    </row>
    <row r="51" spans="2:13" x14ac:dyDescent="0.25">
      <c r="I51" s="207"/>
      <c r="J51" s="194" t="s">
        <v>704</v>
      </c>
      <c r="K51" s="194"/>
      <c r="L51" s="194"/>
      <c r="M51" t="s">
        <v>773</v>
      </c>
    </row>
    <row r="53" spans="2:13" x14ac:dyDescent="0.25">
      <c r="D53" s="196" t="s">
        <v>738</v>
      </c>
      <c r="E53" s="196"/>
      <c r="F53" s="196"/>
    </row>
    <row r="54" spans="2:13" x14ac:dyDescent="0.25">
      <c r="B54" s="212" t="s">
        <v>729</v>
      </c>
      <c r="C54" s="97"/>
      <c r="D54" s="194" t="s">
        <v>751</v>
      </c>
      <c r="E54" s="194"/>
      <c r="F54" s="194"/>
      <c r="G54" t="s">
        <v>759</v>
      </c>
      <c r="J54" s="42" t="s">
        <v>772</v>
      </c>
    </row>
    <row r="55" spans="2:13" x14ac:dyDescent="0.25">
      <c r="B55" s="213"/>
      <c r="C55" s="98"/>
      <c r="D55" s="194" t="s">
        <v>708</v>
      </c>
      <c r="E55" s="194"/>
      <c r="F55" s="194"/>
      <c r="G55" t="s">
        <v>760</v>
      </c>
    </row>
    <row r="56" spans="2:13" x14ac:dyDescent="0.25">
      <c r="B56" s="213"/>
      <c r="C56" s="98"/>
      <c r="D56" s="215" t="s">
        <v>752</v>
      </c>
      <c r="E56" s="194"/>
      <c r="F56" s="194"/>
      <c r="G56" t="s">
        <v>761</v>
      </c>
    </row>
    <row r="57" spans="2:13" x14ac:dyDescent="0.25">
      <c r="B57" s="213"/>
      <c r="C57" s="98"/>
      <c r="D57" s="194" t="s">
        <v>753</v>
      </c>
      <c r="E57" s="194"/>
      <c r="F57" s="194"/>
      <c r="G57" t="s">
        <v>762</v>
      </c>
    </row>
    <row r="58" spans="2:13" x14ac:dyDescent="0.25">
      <c r="B58" s="213"/>
      <c r="C58" s="98"/>
      <c r="D58" s="194" t="s">
        <v>754</v>
      </c>
      <c r="E58" s="194"/>
      <c r="F58" s="194"/>
      <c r="G58" t="s">
        <v>763</v>
      </c>
    </row>
    <row r="59" spans="2:13" x14ac:dyDescent="0.25">
      <c r="B59" s="213"/>
      <c r="C59" s="98"/>
      <c r="D59" s="194" t="s">
        <v>768</v>
      </c>
      <c r="E59" s="194"/>
      <c r="F59" s="194"/>
      <c r="G59" t="s">
        <v>770</v>
      </c>
    </row>
    <row r="60" spans="2:13" x14ac:dyDescent="0.25">
      <c r="B60" s="213"/>
      <c r="C60" s="98"/>
      <c r="D60" s="194" t="s">
        <v>718</v>
      </c>
      <c r="E60" s="194"/>
      <c r="F60" s="194"/>
      <c r="G60" t="s">
        <v>769</v>
      </c>
    </row>
    <row r="61" spans="2:13" x14ac:dyDescent="0.25">
      <c r="B61" s="213"/>
      <c r="C61" s="98"/>
      <c r="D61" s="194" t="s">
        <v>755</v>
      </c>
      <c r="E61" s="194"/>
      <c r="F61" s="194"/>
      <c r="G61" t="s">
        <v>764</v>
      </c>
    </row>
    <row r="62" spans="2:13" x14ac:dyDescent="0.25">
      <c r="B62" s="213"/>
      <c r="C62" s="98"/>
      <c r="D62" s="194" t="s">
        <v>757</v>
      </c>
      <c r="E62" s="194"/>
      <c r="F62" s="194"/>
      <c r="G62" t="s">
        <v>765</v>
      </c>
    </row>
    <row r="63" spans="2:13" x14ac:dyDescent="0.25">
      <c r="B63" s="213"/>
      <c r="C63" s="98"/>
      <c r="D63" s="194" t="s">
        <v>756</v>
      </c>
      <c r="E63" s="194"/>
      <c r="F63" s="194"/>
      <c r="G63" t="s">
        <v>766</v>
      </c>
    </row>
    <row r="64" spans="2:13" x14ac:dyDescent="0.25">
      <c r="B64" s="213"/>
      <c r="C64" s="98"/>
      <c r="D64" s="194" t="s">
        <v>758</v>
      </c>
      <c r="E64" s="194"/>
      <c r="F64" s="194"/>
      <c r="G64" t="s">
        <v>767</v>
      </c>
    </row>
    <row r="65" spans="2:8" x14ac:dyDescent="0.25">
      <c r="B65" s="214"/>
      <c r="C65" s="99"/>
      <c r="D65" s="194"/>
      <c r="E65" s="194"/>
      <c r="F65" s="194"/>
    </row>
    <row r="66" spans="2:8" x14ac:dyDescent="0.25">
      <c r="B66" s="211" t="s">
        <v>737</v>
      </c>
      <c r="C66" s="211"/>
      <c r="D66" s="211"/>
      <c r="E66" s="211"/>
      <c r="F66" s="211"/>
    </row>
    <row r="68" spans="2:8" s="42" customFormat="1" x14ac:dyDescent="0.25">
      <c r="H68" s="87"/>
    </row>
  </sheetData>
  <mergeCells count="66">
    <mergeCell ref="M7:M10"/>
    <mergeCell ref="D64:F64"/>
    <mergeCell ref="D45:F45"/>
    <mergeCell ref="D47:F47"/>
    <mergeCell ref="B66:F66"/>
    <mergeCell ref="B49:F49"/>
    <mergeCell ref="B45:B48"/>
    <mergeCell ref="D46:F46"/>
    <mergeCell ref="B54:B65"/>
    <mergeCell ref="D54:F54"/>
    <mergeCell ref="D65:F65"/>
    <mergeCell ref="D63:F63"/>
    <mergeCell ref="D59:F59"/>
    <mergeCell ref="D61:F61"/>
    <mergeCell ref="D60:F60"/>
    <mergeCell ref="D62:F62"/>
    <mergeCell ref="D56:F56"/>
    <mergeCell ref="J50:L50"/>
    <mergeCell ref="J51:L51"/>
    <mergeCell ref="I38:I51"/>
    <mergeCell ref="J44:L44"/>
    <mergeCell ref="J45:L45"/>
    <mergeCell ref="J46:L46"/>
    <mergeCell ref="J47:L47"/>
    <mergeCell ref="J42:L42"/>
    <mergeCell ref="J48:L48"/>
    <mergeCell ref="J41:L41"/>
    <mergeCell ref="J43:L43"/>
    <mergeCell ref="J38:L38"/>
    <mergeCell ref="J40:L40"/>
    <mergeCell ref="J49:L49"/>
    <mergeCell ref="J39:L39"/>
    <mergeCell ref="D31:F31"/>
    <mergeCell ref="B32:F32"/>
    <mergeCell ref="D35:F35"/>
    <mergeCell ref="B36:B40"/>
    <mergeCell ref="D36:F36"/>
    <mergeCell ref="J37:L37"/>
    <mergeCell ref="D40:F40"/>
    <mergeCell ref="D39:F39"/>
    <mergeCell ref="D37:F37"/>
    <mergeCell ref="D38:F38"/>
    <mergeCell ref="D57:F57"/>
    <mergeCell ref="D58:F58"/>
    <mergeCell ref="J31:L31"/>
    <mergeCell ref="B21:B24"/>
    <mergeCell ref="B29:B31"/>
    <mergeCell ref="I29:I34"/>
    <mergeCell ref="D28:F28"/>
    <mergeCell ref="J34:L34"/>
    <mergeCell ref="J32:L32"/>
    <mergeCell ref="J33:L33"/>
    <mergeCell ref="B41:F41"/>
    <mergeCell ref="D48:F48"/>
    <mergeCell ref="D44:F44"/>
    <mergeCell ref="D55:F55"/>
    <mergeCell ref="D53:F53"/>
    <mergeCell ref="J29:L29"/>
    <mergeCell ref="I2:K2"/>
    <mergeCell ref="D30:F30"/>
    <mergeCell ref="B13:B16"/>
    <mergeCell ref="D19:F19"/>
    <mergeCell ref="J28:L28"/>
    <mergeCell ref="J30:L30"/>
    <mergeCell ref="D29:F29"/>
    <mergeCell ref="C2:G2"/>
  </mergeCells>
  <phoneticPr fontId="27" type="noConversion"/>
  <pageMargins left="0.51181102362204722" right="0.51181102362204722" top="0.78740157480314965" bottom="0.78740157480314965" header="0.31496062992125984" footer="0.31496062992125984"/>
  <pageSetup paperSize="9" scale="44" orientation="landscape" r:id="rId1"/>
  <headerFooter>
    <oddHeader>&amp;C&amp;A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E3"/>
  <sheetViews>
    <sheetView workbookViewId="0">
      <pane ySplit="1" topLeftCell="A2" activePane="bottomLeft" state="frozen"/>
      <selection activeCell="C4" sqref="C4:E4"/>
      <selection pane="bottomLeft" activeCell="C4" sqref="C4:E4"/>
    </sheetView>
  </sheetViews>
  <sheetFormatPr defaultRowHeight="15" x14ac:dyDescent="0.25"/>
  <cols>
    <col min="1" max="1" width="11.42578125" bestFit="1" customWidth="1"/>
    <col min="2" max="2" width="71.7109375" bestFit="1" customWidth="1"/>
    <col min="4" max="4" width="11.42578125" bestFit="1" customWidth="1"/>
    <col min="5" max="5" width="71.7109375" bestFit="1" customWidth="1"/>
  </cols>
  <sheetData>
    <row r="1" spans="1:5" s="82" customFormat="1" x14ac:dyDescent="0.25">
      <c r="A1" s="82" t="s">
        <v>593</v>
      </c>
      <c r="B1" s="82" t="s">
        <v>755</v>
      </c>
      <c r="D1" s="82" t="s">
        <v>593</v>
      </c>
      <c r="E1" s="82" t="s">
        <v>1237</v>
      </c>
    </row>
    <row r="2" spans="1:5" x14ac:dyDescent="0.25">
      <c r="A2" t="s">
        <v>1230</v>
      </c>
      <c r="B2" t="s">
        <v>1239</v>
      </c>
      <c r="D2" t="s">
        <v>1234</v>
      </c>
      <c r="E2" t="s">
        <v>1222</v>
      </c>
    </row>
    <row r="3" spans="1:5" x14ac:dyDescent="0.25">
      <c r="A3" t="s">
        <v>1232</v>
      </c>
      <c r="B3" t="s">
        <v>1240</v>
      </c>
      <c r="D3" t="s">
        <v>1235</v>
      </c>
      <c r="E3" t="s">
        <v>1236</v>
      </c>
    </row>
  </sheetData>
  <hyperlinks>
    <hyperlink ref="B2" r:id="rId1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" label="Pesquisar Orçamentos" size="large" onAction="Pesquisar" imageMso="ZoomDialog"/>
        </group>
        <group id="Grp2" label="Orçamento">
          <button id="Btn2" label="Cadastro" size="large" onAction="Cadastro" imageMso="SmartArtAddShape"/>
          <button id="Btn3" label="Anexos" size="large" onAction="AnexosArquivos" imageMso="ExchangeFolder"/>
        </group>
        <group id="Grp3" label="Fluxo de dados">
          <button id="Btn4" label="Enviar" size="large" onAction="Enviar" imageMso="ObjectNudgeRight"/>
        </group>
        <group id="Grp4" label="Projetos">
          <button id="Btn5" label="Projeto 01" size="large" onAction="Projeto01" imageMso="ReviewNewComment"/>
          <button id="Btn6" label="Projeto 02" size="large" onAction="Projeto02" imageMso="ReviewNewComment"/>
          <button id="Btn7" label="Projeto 03" size="large" onAction="Projeto03" imageMso="ReviewNewComment"/>
          <button id="Btn8" label="Projeto 04" size="large" onAction="Projeto04" imageMso="ReviewNewComment"/>
          <button id="Btn9" label="Projeto 05" size="large" onAction="Projeto05" imageMso="ReviewNewComment"/>
          <button id="Btn10" label="Projeto 06" size="large" onAction="Projeto06" imageMso="ReviewNewComment"/>
          <button id="Btn11" label="Projeto 07" size="large" onAction="Projeto07" imageMso="ReviewNewComment"/>
          <button id="Btn12" label="Projeto 08" size="large" onAction="Projeto08" imageMso="ReviewNewComment"/>
        </group>
        <group id="Grp5" label="Indices de Calculos">
          <button id="Btn13" label="Indices" size="large" onAction="Indices" imageMso="TableInse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TANIA</vt:lpstr>
      <vt:lpstr>APOIO</vt:lpstr>
      <vt:lpstr>ADM</vt:lpstr>
      <vt:lpstr>CFG</vt:lpstr>
      <vt:lpstr>ADM!Print_Area</vt:lpstr>
      <vt:lpstr>TANIA!Print_Area</vt:lpstr>
    </vt:vector>
  </TitlesOfParts>
  <Company>Rtm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 Z. da Silva</cp:lastModifiedBy>
  <cp:lastPrinted>2013-04-10T11:15:10Z</cp:lastPrinted>
  <dcterms:created xsi:type="dcterms:W3CDTF">2011-03-16T19:58:59Z</dcterms:created>
  <dcterms:modified xsi:type="dcterms:W3CDTF">2019-12-24T15:51:40Z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ailton.z.da.silva@avanade.com</vt:lpwstr>
  </property>
  <property fmtid="{D5CDD505-2E9C-101B-9397-08002B2CF9AE}" pid="5" name="MSIP_Label_236020b0-6d69-48c1-9bb5-c586c1062b70_SetDate">
    <vt:lpwstr>2019-12-24T15:51:39.9031007Z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ActionId">
    <vt:lpwstr>ca0b4b3a-4fad-4800-b498-3b974b8f8263</vt:lpwstr>
  </property>
  <property fmtid="{D5CDD505-2E9C-101B-9397-08002B2CF9AE}" pid="9" name="MSIP_Label_236020b0-6d69-48c1-9bb5-c586c1062b70_Extended_MSFT_Method">
    <vt:lpwstr>Automatic</vt:lpwstr>
  </property>
  <property fmtid="{D5CDD505-2E9C-101B-9397-08002B2CF9AE}" pid="10" name="MSIP_Label_5fae8262-b78e-4366-8929-a5d6aac95320_Enabled">
    <vt:lpwstr>True</vt:lpwstr>
  </property>
  <property fmtid="{D5CDD505-2E9C-101B-9397-08002B2CF9AE}" pid="11" name="MSIP_Label_5fae8262-b78e-4366-8929-a5d6aac95320_SiteId">
    <vt:lpwstr>cf36141c-ddd7-45a7-b073-111f66d0b30c</vt:lpwstr>
  </property>
  <property fmtid="{D5CDD505-2E9C-101B-9397-08002B2CF9AE}" pid="12" name="MSIP_Label_5fae8262-b78e-4366-8929-a5d6aac95320_Owner">
    <vt:lpwstr>ailton.z.da.silva@avanade.com</vt:lpwstr>
  </property>
  <property fmtid="{D5CDD505-2E9C-101B-9397-08002B2CF9AE}" pid="13" name="MSIP_Label_5fae8262-b78e-4366-8929-a5d6aac95320_SetDate">
    <vt:lpwstr>2019-12-24T15:51:39.9031007Z</vt:lpwstr>
  </property>
  <property fmtid="{D5CDD505-2E9C-101B-9397-08002B2CF9AE}" pid="14" name="MSIP_Label_5fae8262-b78e-4366-8929-a5d6aac95320_Name">
    <vt:lpwstr>Recipients Have Full Control</vt:lpwstr>
  </property>
  <property fmtid="{D5CDD505-2E9C-101B-9397-08002B2CF9AE}" pid="15" name="MSIP_Label_5fae8262-b78e-4366-8929-a5d6aac95320_Application">
    <vt:lpwstr>Microsoft Azure Information Protection</vt:lpwstr>
  </property>
  <property fmtid="{D5CDD505-2E9C-101B-9397-08002B2CF9AE}" pid="16" name="MSIP_Label_5fae8262-b78e-4366-8929-a5d6aac95320_ActionId">
    <vt:lpwstr>ca0b4b3a-4fad-4800-b498-3b974b8f8263</vt:lpwstr>
  </property>
  <property fmtid="{D5CDD505-2E9C-101B-9397-08002B2CF9AE}" pid="17" name="MSIP_Label_5fae8262-b78e-4366-8929-a5d6aac95320_Parent">
    <vt:lpwstr>236020b0-6d69-48c1-9bb5-c586c1062b70</vt:lpwstr>
  </property>
  <property fmtid="{D5CDD505-2E9C-101B-9397-08002B2CF9AE}" pid="18" name="MSIP_Label_5fae8262-b78e-4366-8929-a5d6aac95320_Extended_MSFT_Method">
    <vt:lpwstr>Automatic</vt:lpwstr>
  </property>
  <property fmtid="{D5CDD505-2E9C-101B-9397-08002B2CF9AE}" pid="19" name="Sensitivity">
    <vt:lpwstr>Confidential Recipients Have Full Control</vt:lpwstr>
  </property>
</Properties>
</file>