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76defaf269d4aea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585" yWindow="0" windowWidth="18660" windowHeight="11310"/>
  </bookViews>
  <sheets>
    <sheet name="JOSEFINA DA SILVA" sheetId="25" r:id="rId1"/>
    <sheet name="APOIO" sheetId="19" state="veryHidden" r:id="rId2"/>
    <sheet name="BANCOS" sheetId="22" state="veryHidden" r:id="rId3"/>
    <sheet name="CUSTOS DE PRODUÇÃO" sheetId="26" state="hidden" r:id="rId4"/>
    <sheet name="CALCULO DE GRANT" sheetId="27" state="hidden" r:id="rId5"/>
  </sheets>
  <functionGroups/>
  <definedNames>
    <definedName name="_xlnm._FilterDatabase" localSheetId="0" hidden="1">'JOSEFINA DA SILVA'!#REF!</definedName>
    <definedName name="ACABAMENTO">OFFSET(APOIO!$D$2,0,0,COUNTA(APOIO!$D:$D)-1,1)</definedName>
    <definedName name="_xlnm.Print_Area" localSheetId="4">'CALCULO DE GRANT'!#REF!</definedName>
    <definedName name="_xlnm.Print_Area" localSheetId="3">'CUSTOS DE PRODUÇÃO'!$A$1:$J$51</definedName>
    <definedName name="_xlnm.Print_Area" localSheetId="0">'JOSEFINA DA SILVA'!$B$1:$J$86</definedName>
    <definedName name="ARREDONDAMENT0_01">'JOSEFINA DA SILVA'!$C$83</definedName>
    <definedName name="ARREDONDAMENT0_02">'JOSEFINA DA SILVA'!$D$83</definedName>
    <definedName name="ARREDONDAMENT0_03">'JOSEFINA DA SILVA'!$E$83</definedName>
    <definedName name="ARREDONDAMENT0_04">'JOSEFINA DA SILVA'!$F$83</definedName>
    <definedName name="ARREDONDAMENT0_05">'JOSEFINA DA SILVA'!$G$83</definedName>
    <definedName name="ARREDONDAMENT0_06">'JOSEFINA DA SILVA'!$H$83</definedName>
    <definedName name="ARREDONDAMENT0_07">'JOSEFINA DA SILVA'!$I$83</definedName>
    <definedName name="ARREDONDAMENT0_08">'JOSEFINA DA SILVA'!$J$83</definedName>
    <definedName name="Caracteristicas">'JOSEFINA DA SILVA'!$C$29:$J$29</definedName>
    <definedName name="CLIENTES">OFFSET(APOIO!$C$2,0,0,COUNTA(APOIO!$C:$C)-1,1)</definedName>
    <definedName name="DescontoComprasMKT_01">'JOSEFINA DA SILVA'!$C$76</definedName>
    <definedName name="DescontoComprasMKT_02">'JOSEFINA DA SILVA'!$D$76</definedName>
    <definedName name="DescontoComprasMKT_03">'JOSEFINA DA SILVA'!$E$76</definedName>
    <definedName name="DescontoComprasMKT_04">'JOSEFINA DA SILVA'!$F$76</definedName>
    <definedName name="DescontoComprasMKT_05">'JOSEFINA DA SILVA'!$G$76</definedName>
    <definedName name="DescontoComprasMKT_06">'JOSEFINA DA SILVA'!$H$76</definedName>
    <definedName name="DescontoComprasMKT_07">'JOSEFINA DA SILVA'!$I$76</definedName>
    <definedName name="DescontoComprasMKT_08">'JOSEFINA DA SILVA'!$J$76</definedName>
    <definedName name="DescontoPadrao_01">'JOSEFINA DA SILVA'!$C$71</definedName>
    <definedName name="DescontoPadrao_02">'JOSEFINA DA SILVA'!$D$71</definedName>
    <definedName name="DescontoPadrao_03">'JOSEFINA DA SILVA'!$E$71</definedName>
    <definedName name="DescontoPadrao_04">'JOSEFINA DA SILVA'!$F$71</definedName>
    <definedName name="DescontoPadrao_05">'JOSEFINA DA SILVA'!$G$71</definedName>
    <definedName name="DescontoPadrao_06">'JOSEFINA DA SILVA'!$H$71</definedName>
    <definedName name="DescontoPadrao_07">'JOSEFINA DA SILVA'!$I$71</definedName>
    <definedName name="DescontoPadrao_08">'JOSEFINA DA SILVA'!$J$71</definedName>
    <definedName name="DESCONTOS">OFFSET('JOSEFINA DA SILVA'!$W$3,0,0,COUNTA('JOSEFINA DA SILVA'!$W:$W)-2,1)</definedName>
    <definedName name="DRIVERS">OFFSET(BANCOS!$H$2,0,0,COUNTA(BANCOS!$H:$H)-1,1)</definedName>
    <definedName name="FASCICULOS_01">'JOSEFINA DA SILVA'!$C$14</definedName>
    <definedName name="FASCICULOS_02">'JOSEFINA DA SILVA'!$D$14</definedName>
    <definedName name="FASCICULOS_03">'JOSEFINA DA SILVA'!$E$14</definedName>
    <definedName name="FASCICULOS_04">'JOSEFINA DA SILVA'!$F$14</definedName>
    <definedName name="FASCICULOS_05">'JOSEFINA DA SILVA'!$G$14</definedName>
    <definedName name="FASCICULOS_06">'JOSEFINA DA SILVA'!$H$14</definedName>
    <definedName name="FASCICULOS_07">'JOSEFINA DA SILVA'!$I$14</definedName>
    <definedName name="FASCICULOS_08">'JOSEFINA DA SILVA'!$J$14</definedName>
    <definedName name="FORMATO">OFFSET(APOIO!$J$2,0,0,COUNTA(APOIO!$J:$J)-1,1)</definedName>
    <definedName name="IDIOMAS">OFFSET(APOIO!$E$2,0,0,COUNTA(APOIO!$E:$E)-1,1)</definedName>
    <definedName name="IMPRESSAO">OFFSET(APOIO!$I$2,0,0,COUNTA(APOIO!$I:$I)-1,1)</definedName>
    <definedName name="JOURNAL">OFFSET(APOIO!$A$2,0,0,COUNTA(APOIO!$A:$A)-1,1)</definedName>
    <definedName name="LINHA">OFFSET('JOSEFINA DA SILVA'!$L$3,0,0,COUNTA('JOSEFINA DA SILVA'!$L:$L)-2,1)</definedName>
    <definedName name="LINHA_DE_PRODUTO_01">'JOSEFINA DA SILVA'!$C$13</definedName>
    <definedName name="LINHA_DE_PRODUTO_02">'JOSEFINA DA SILVA'!$D$13</definedName>
    <definedName name="LINHA_DE_PRODUTO_03">'JOSEFINA DA SILVA'!$E$13</definedName>
    <definedName name="LINHA_DE_PRODUTO_04">'JOSEFINA DA SILVA'!$F$13</definedName>
    <definedName name="LINHA_DE_PRODUTO_05">'JOSEFINA DA SILVA'!$G$13</definedName>
    <definedName name="LINHA_DE_PRODUTO_06">'JOSEFINA DA SILVA'!$H$13</definedName>
    <definedName name="LINHA_DE_PRODUTO_07">'JOSEFINA DA SILVA'!$I$13</definedName>
    <definedName name="LINHA_DE_PRODUTO_08">'JOSEFINA DA SILVA'!$J$13</definedName>
    <definedName name="MARGEM_MINIMA_01">'JOSEFINA DA SILVA'!$C$62</definedName>
    <definedName name="MARGEM_MINIMA_02">'JOSEFINA DA SILVA'!$D$62</definedName>
    <definedName name="MARGEM_MINIMA_03">'JOSEFINA DA SILVA'!$E$62</definedName>
    <definedName name="MARGEM_MINIMA_04">'JOSEFINA DA SILVA'!$F$62</definedName>
    <definedName name="MARGEM_MINIMA_05">'JOSEFINA DA SILVA'!$G$62</definedName>
    <definedName name="MARGEM_MINIMA_06">'JOSEFINA DA SILVA'!$H$62</definedName>
    <definedName name="MARGEM_MINIMA_07">'JOSEFINA DA SILVA'!$I$62</definedName>
    <definedName name="MARGEM_MINIMA_08">'JOSEFINA DA SILVA'!$J$62</definedName>
    <definedName name="MargemBrutaComprasMKT_01">'JOSEFINA DA SILVA'!$C$77</definedName>
    <definedName name="MargemBrutaComprasMKT_02">'JOSEFINA DA SILVA'!$D$77</definedName>
    <definedName name="MargemBrutaComprasMKT_03">'JOSEFINA DA SILVA'!$E$77</definedName>
    <definedName name="MargemBrutaComprasMKT_04">'JOSEFINA DA SILVA'!$F$77</definedName>
    <definedName name="MargemBrutaComprasMKT_05">'JOSEFINA DA SILVA'!$G$77</definedName>
    <definedName name="MargemBrutaComprasMKT_06">'JOSEFINA DA SILVA'!$H$77</definedName>
    <definedName name="MargemBrutaComprasMKT_07">'JOSEFINA DA SILVA'!$I$77</definedName>
    <definedName name="MargemBrutaComprasMKT_08">'JOSEFINA DA SILVA'!$J$77</definedName>
    <definedName name="MargemBrutaMKT_01">'JOSEFINA DA SILVA'!$C$69</definedName>
    <definedName name="MargemBrutaMKT_02">'JOSEFINA DA SILVA'!$D$69</definedName>
    <definedName name="MargemBrutaMKT_03">'JOSEFINA DA SILVA'!$E$69</definedName>
    <definedName name="MargemBrutaMKT_04">'JOSEFINA DA SILVA'!$F$69</definedName>
    <definedName name="MargemBrutaMKT_05">'JOSEFINA DA SILVA'!$G$69</definedName>
    <definedName name="MargemBrutaMKT_06">'JOSEFINA DA SILVA'!$H$69</definedName>
    <definedName name="MargemBrutaMKT_07">'JOSEFINA DA SILVA'!$I$69</definedName>
    <definedName name="MargemBrutaMKT_08">'JOSEFINA DA SILVA'!$J$69</definedName>
    <definedName name="MargemMinimaCompras_01">'JOSEFINA DA SILVA'!$C$74</definedName>
    <definedName name="MargemMinimaCompras_02">'JOSEFINA DA SILVA'!$D$74</definedName>
    <definedName name="MargemMinimaCompras_03">'JOSEFINA DA SILVA'!$E$74</definedName>
    <definedName name="MargemMinimaCompras_04">'JOSEFINA DA SILVA'!$F$74</definedName>
    <definedName name="MargemMinimaCompras_05">'JOSEFINA DA SILVA'!$G$74</definedName>
    <definedName name="MargemMinimaCompras_06">'JOSEFINA DA SILVA'!$H$74</definedName>
    <definedName name="MargemMinimaCompras_07">'JOSEFINA DA SILVA'!$I$74</definedName>
    <definedName name="MargemMinimaCompras_08">'JOSEFINA DA SILVA'!$J$74</definedName>
    <definedName name="MargemMKT_01">'JOSEFINA DA SILVA'!$C$68</definedName>
    <definedName name="MargemMKT_02">'JOSEFINA DA SILVA'!$D$68</definedName>
    <definedName name="MargemMKT_03">'JOSEFINA DA SILVA'!$E$68</definedName>
    <definedName name="MargemMKT_04">'JOSEFINA DA SILVA'!$F$68</definedName>
    <definedName name="MargemMKT_05">'JOSEFINA DA SILVA'!$G$68</definedName>
    <definedName name="MargemMKT_06">'JOSEFINA DA SILVA'!$H$68</definedName>
    <definedName name="MargemMKT_07">'JOSEFINA DA SILVA'!$I$68</definedName>
    <definedName name="MargemMKT_08">'JOSEFINA DA SILVA'!$J$68</definedName>
    <definedName name="MOEDA">OFFSET('JOSEFINA DA SILVA'!$P$3,0,0,COUNTA('JOSEFINA DA SILVA'!$P:$P)-2,1)</definedName>
    <definedName name="Moeda_01">'JOSEFINA DA SILVA'!$C$20</definedName>
    <definedName name="Moeda_02">'JOSEFINA DA SILVA'!$D$20</definedName>
    <definedName name="Moeda_03">'JOSEFINA DA SILVA'!$E$20</definedName>
    <definedName name="Moeda_04">'JOSEFINA DA SILVA'!$F$20</definedName>
    <definedName name="Moeda_05">'JOSEFINA DA SILVA'!$G$20</definedName>
    <definedName name="Moeda_06">'JOSEFINA DA SILVA'!$H$20</definedName>
    <definedName name="Moeda_07">'JOSEFINA DA SILVA'!$I$20</definedName>
    <definedName name="Moeda_08">'JOSEFINA DA SILVA'!$J$20</definedName>
    <definedName name="NPAGINAS">OFFSET(APOIO!$H$2,0,0,COUNTA(APOIO!$H:$H)-1,1)</definedName>
    <definedName name="PAPEL">OFFSET(APOIO!$G$2,0,0,COUNTA(APOIO!$G:$G)-1,1)</definedName>
    <definedName name="PRECO_VENDA_GROSS_01">'JOSEFINA DA SILVA'!$C$82</definedName>
    <definedName name="PRECO_VENDA_GROSS_02">'JOSEFINA DA SILVA'!$D$82</definedName>
    <definedName name="PRECO_VENDA_GROSS_03">'JOSEFINA DA SILVA'!$E$82</definedName>
    <definedName name="PRECO_VENDA_GROSS_04">'JOSEFINA DA SILVA'!$F$82</definedName>
    <definedName name="PRECO_VENDA_GROSS_05">'JOSEFINA DA SILVA'!$G$82</definedName>
    <definedName name="PRECO_VENDA_GROSS_06">'JOSEFINA DA SILVA'!$H$82</definedName>
    <definedName name="PRECO_VENDA_GROSS_07">'JOSEFINA DA SILVA'!$I$82</definedName>
    <definedName name="PRECO_VENDA_GROSS_08">'JOSEFINA DA SILVA'!$J$82</definedName>
    <definedName name="PrecoDeCompras_01">'JOSEFINA DA SILVA'!$C$72</definedName>
    <definedName name="PrecoDeCompras_02">'JOSEFINA DA SILVA'!$D$72</definedName>
    <definedName name="PrecoDeCompras_03">'JOSEFINA DA SILVA'!$E$72</definedName>
    <definedName name="PrecoDeCompras_04">'JOSEFINA DA SILVA'!$F$72</definedName>
    <definedName name="PrecoDeCompras_05">'JOSEFINA DA SILVA'!$G$72</definedName>
    <definedName name="PrecoDeCompras_06">'JOSEFINA DA SILVA'!$H$72</definedName>
    <definedName name="PrecoDeCompras_07">'JOSEFINA DA SILVA'!$I$72</definedName>
    <definedName name="PrecoDeCompras_08">'JOSEFINA DA SILVA'!$J$72</definedName>
    <definedName name="PrecoMKT_01">'JOSEFINA DA SILVA'!$C$65</definedName>
    <definedName name="PrecoMKT_02">'JOSEFINA DA SILVA'!$D$65</definedName>
    <definedName name="PrecoMKT_03">'JOSEFINA DA SILVA'!$E$65</definedName>
    <definedName name="PrecoMKT_04">'JOSEFINA DA SILVA'!$F$65</definedName>
    <definedName name="PrecoMKT_05">'JOSEFINA DA SILVA'!$G$65</definedName>
    <definedName name="PrecoMKT_06">'JOSEFINA DA SILVA'!$H$65</definedName>
    <definedName name="PrecoMKT_07">'JOSEFINA DA SILVA'!$I$65</definedName>
    <definedName name="PrecoMKT_08">'JOSEFINA DA SILVA'!$J$65</definedName>
    <definedName name="PrecoTotal_01">'JOSEFINA DA SILVA'!$C$73</definedName>
    <definedName name="PrecoTotal_02">'JOSEFINA DA SILVA'!$D$73</definedName>
    <definedName name="PrecoTotal_03">'JOSEFINA DA SILVA'!$E$73</definedName>
    <definedName name="PrecoTotal_04">'JOSEFINA DA SILVA'!$F$73</definedName>
    <definedName name="PrecoTotal_05">'JOSEFINA DA SILVA'!$G$73</definedName>
    <definedName name="PrecoTotal_06">'JOSEFINA DA SILVA'!$H$73</definedName>
    <definedName name="PrecoTotal_07">'JOSEFINA DA SILVA'!$I$73</definedName>
    <definedName name="PrecoTotal_08">'JOSEFINA DA SILVA'!$J$73</definedName>
    <definedName name="PrecoTotalMKT_01">'JOSEFINA DA SILVA'!$C$66</definedName>
    <definedName name="PrecoTotalMKT_02">'JOSEFINA DA SILVA'!$D$66</definedName>
    <definedName name="PrecoTotalMKT_03">'JOSEFINA DA SILVA'!$E$66</definedName>
    <definedName name="PrecoTotalMKT_04">'JOSEFINA DA SILVA'!$F$66</definedName>
    <definedName name="PrecoTotalMKT_05">'JOSEFINA DA SILVA'!$G$66</definedName>
    <definedName name="PrecoTotalMKT_06">'JOSEFINA DA SILVA'!$H$66</definedName>
    <definedName name="PrecoTotalMKT_07">'JOSEFINA DA SILVA'!$I$66</definedName>
    <definedName name="PrecoTotalMKT_08">'JOSEFINA DA SILVA'!$J$66</definedName>
    <definedName name="PRODUTO">'JOSEFINA DA SILVA'!$C$79</definedName>
    <definedName name="Projetos">'JOSEFINA DA SILVA'!$C$13:$J$23</definedName>
    <definedName name="PUBLISHER">OFFSET(APOIO!$B$2,0,0,COUNTA(APOIO!$B:$B)-1,1)</definedName>
    <definedName name="ROYALTY_ESPECIE_01">'JOSEFINA DA SILVA'!$C$22</definedName>
    <definedName name="ROYALTY_ESPECIE_02">'JOSEFINA DA SILVA'!$D$22</definedName>
    <definedName name="ROYALTY_ESPECIE_03">'JOSEFINA DA SILVA'!$E$22</definedName>
    <definedName name="ROYALTY_ESPECIE_04">'JOSEFINA DA SILVA'!$F$22</definedName>
    <definedName name="ROYALTY_ESPECIE_05">'JOSEFINA DA SILVA'!$G$22</definedName>
    <definedName name="ROYALTY_ESPECIE_06">'JOSEFINA DA SILVA'!$H$22</definedName>
    <definedName name="ROYALTY_ESPECIE_07">'JOSEFINA DA SILVA'!$I$22</definedName>
    <definedName name="ROYALTY_ESPECIE_08">'JOSEFINA DA SILVA'!$J$22</definedName>
    <definedName name="ROYALTY_PERCENTUAL_01">'JOSEFINA DA SILVA'!$C$21</definedName>
    <definedName name="ROYALTY_PERCENTUAL_02">'JOSEFINA DA SILVA'!$D$21</definedName>
    <definedName name="ROYALTY_PERCENTUAL_03">'JOSEFINA DA SILVA'!$E$21</definedName>
    <definedName name="ROYALTY_PERCENTUAL_04">'JOSEFINA DA SILVA'!$F$21</definedName>
    <definedName name="ROYALTY_PERCENTUAL_05">'JOSEFINA DA SILVA'!$G$21</definedName>
    <definedName name="ROYALTY_PERCENTUAL_06">'JOSEFINA DA SILVA'!$H$21</definedName>
    <definedName name="ROYALTY_PERCENTUAL_07">'JOSEFINA DA SILVA'!$I$21</definedName>
    <definedName name="ROYALTY_PERCENTUAL_08">'JOSEFINA DA SILVA'!$J$21</definedName>
    <definedName name="SERVICO">'JOSEFINA DA SILVA'!$C$80</definedName>
    <definedName name="SomaCustos_01">'JOSEFINA DA SILVA'!$C$58</definedName>
    <definedName name="SomaCustos_02">'JOSEFINA DA SILVA'!$D$58</definedName>
    <definedName name="SomaCustos_03">'JOSEFINA DA SILVA'!$E$58</definedName>
    <definedName name="SomaCustos_04">'JOSEFINA DA SILVA'!$F$58</definedName>
    <definedName name="SomaCustos_05">'JOSEFINA DA SILVA'!$G$58</definedName>
    <definedName name="SomaCustos_06">'JOSEFINA DA SILVA'!$H$58</definedName>
    <definedName name="SomaCustos_07">'JOSEFINA DA SILVA'!$I$58</definedName>
    <definedName name="SomaCustos_08">'JOSEFINA DA SILVA'!$J$58</definedName>
    <definedName name="TIPO">OFFSET(APOIO!$F$2,0,0,COUNTA(APOIO!$F:$F)-1,1)</definedName>
    <definedName name="TIRAGEM_01">'JOSEFINA DA SILVA'!$C$60</definedName>
    <definedName name="TIRAGEM_02">'JOSEFINA DA SILVA'!$D$60</definedName>
    <definedName name="TIRAGEM_03">'JOSEFINA DA SILVA'!$E$60</definedName>
    <definedName name="TIRAGEM_04">'JOSEFINA DA SILVA'!$F$60</definedName>
    <definedName name="TIRAGEM_05">'JOSEFINA DA SILVA'!$G$60</definedName>
    <definedName name="TIRAGEM_06">'JOSEFINA DA SILVA'!$H$60</definedName>
    <definedName name="TIRAGEM_07">'JOSEFINA DA SILVA'!$I$60</definedName>
    <definedName name="TIRAGEM_08">'JOSEFINA DA SILVA'!$J$60</definedName>
    <definedName name="ValorUnitarioCompras_01">'JOSEFINA DA SILVA'!$C$75</definedName>
    <definedName name="ValorUnitarioCompras_02">'JOSEFINA DA SILVA'!$D$75</definedName>
    <definedName name="ValorUnitarioCompras_03">'JOSEFINA DA SILVA'!$E$75</definedName>
    <definedName name="ValorUnitarioCompras_04">'JOSEFINA DA SILVA'!$F$75</definedName>
    <definedName name="ValorUnitarioCompras_05">'JOSEFINA DA SILVA'!$G$75</definedName>
    <definedName name="ValorUnitarioCompras_06">'JOSEFINA DA SILVA'!$H$75</definedName>
    <definedName name="ValorUnitarioCompras_07">'JOSEFINA DA SILVA'!$I$75</definedName>
    <definedName name="ValorUnitarioCompras_08">'JOSEFINA DA SILVA'!$J$75</definedName>
    <definedName name="ValorUnitarioMKT_01">'JOSEFINA DA SILVA'!$C$67</definedName>
    <definedName name="ValorUnitarioMKT_02">'JOSEFINA DA SILVA'!$D$67</definedName>
    <definedName name="ValorUnitarioMKT_03">'JOSEFINA DA SILVA'!$E$67</definedName>
    <definedName name="ValorUnitarioMKT_04">'JOSEFINA DA SILVA'!$F$67</definedName>
    <definedName name="ValorUnitarioMKT_05">'JOSEFINA DA SILVA'!$G$67</definedName>
    <definedName name="ValorUnitarioMKT_06">'JOSEFINA DA SILVA'!$H$67</definedName>
    <definedName name="ValorUnitarioMKT_07">'JOSEFINA DA SILVA'!$I$67</definedName>
    <definedName name="ValorUnitarioMKT_08">'JOSEFINA DA SILVA'!$J$67</definedName>
    <definedName name="VENDAS">OFFSET('JOSEFINA DA SILVA'!$S$3,0,0,COUNTA('JOSEFINA DA SILVA'!$S:$S)-2,1)</definedName>
    <definedName name="Z_437F6487_5027_419A_843F_1746F5494E4F_.wvu.FilterData" localSheetId="0" hidden="1">'JOSEFINA DA SILVA'!#REF!</definedName>
    <definedName name="Z_437F6487_5027_419A_843F_1746F5494E4F_.wvu.PrintArea" localSheetId="0" hidden="1">'JOSEFINA DA SILVA'!$B$1:$J$60</definedName>
    <definedName name="Z_5B1E8DBA_90DA_43E8_AAC8_B7C5A23492D3_.wvu.FilterData" localSheetId="0" hidden="1">'JOSEFINA DA SILVA'!#REF!</definedName>
    <definedName name="Z_5B1E8DBA_90DA_43E8_AAC8_B7C5A23492D3_.wvu.PrintArea" localSheetId="0" hidden="1">'JOSEFINA DA SILVA'!$B$1:$J$60</definedName>
  </definedNames>
  <calcPr calcId="125725"/>
</workbook>
</file>

<file path=xl/calcChain.xml><?xml version="1.0" encoding="utf-8"?>
<calcChain xmlns="http://schemas.openxmlformats.org/spreadsheetml/2006/main">
  <c r="D4" i="27"/>
  <c r="D5"/>
  <c r="J82" i="25"/>
  <c r="I82"/>
  <c r="H82"/>
  <c r="G82"/>
  <c r="F82"/>
  <c r="E82"/>
  <c r="D82"/>
  <c r="C82"/>
  <c r="C86" s="1"/>
  <c r="C72"/>
  <c r="C76" s="1"/>
  <c r="C16"/>
  <c r="D16"/>
  <c r="N7" i="27"/>
  <c r="P7" s="1"/>
  <c r="Q7" s="1"/>
  <c r="N6"/>
  <c r="P6" s="1"/>
  <c r="Q6" s="1"/>
  <c r="N5"/>
  <c r="P5" s="1"/>
  <c r="Q5" s="1"/>
  <c r="N4"/>
  <c r="P4" s="1"/>
  <c r="Q4" s="1"/>
  <c r="M5" i="26"/>
  <c r="M4"/>
  <c r="Z5"/>
  <c r="AB5" s="1"/>
  <c r="AC5" s="1"/>
  <c r="Z6"/>
  <c r="AB6" s="1"/>
  <c r="AC6" s="1"/>
  <c r="Z7"/>
  <c r="AB7" s="1"/>
  <c r="AC7" s="1"/>
  <c r="Z4"/>
  <c r="AB4" s="1"/>
  <c r="AC4" s="1"/>
  <c r="F72" i="25"/>
  <c r="E72"/>
  <c r="D72"/>
  <c r="F4" i="22"/>
  <c r="J62" i="25" l="1"/>
  <c r="I62"/>
  <c r="H62"/>
  <c r="G62"/>
  <c r="F62"/>
  <c r="E62"/>
  <c r="D62"/>
  <c r="C62"/>
  <c r="C63" s="1"/>
  <c r="J72" l="1"/>
  <c r="J63" s="1"/>
  <c r="I72"/>
  <c r="I63" s="1"/>
  <c r="H72"/>
  <c r="H63" s="1"/>
  <c r="G72"/>
  <c r="G63" s="1"/>
  <c r="F63"/>
  <c r="E63"/>
  <c r="D63"/>
  <c r="J86" l="1"/>
  <c r="I86"/>
  <c r="H86"/>
  <c r="G86"/>
  <c r="F86"/>
  <c r="E86"/>
  <c r="D86"/>
  <c r="C36"/>
  <c r="J36"/>
  <c r="I36"/>
  <c r="H36"/>
  <c r="G36"/>
  <c r="F36"/>
  <c r="E36"/>
  <c r="D36"/>
  <c r="E16" l="1"/>
  <c r="F16"/>
  <c r="G16"/>
  <c r="H16"/>
  <c r="I16"/>
  <c r="J16"/>
  <c r="J58" l="1"/>
  <c r="J69" s="1"/>
  <c r="I58"/>
  <c r="I69" s="1"/>
  <c r="H58"/>
  <c r="H69" s="1"/>
  <c r="G58"/>
  <c r="G69" s="1"/>
  <c r="F58"/>
  <c r="E58"/>
  <c r="D58"/>
  <c r="D74" s="1"/>
  <c r="C58"/>
  <c r="J76"/>
  <c r="I76"/>
  <c r="H76"/>
  <c r="G76"/>
  <c r="F76"/>
  <c r="D76"/>
  <c r="F2" i="22"/>
  <c r="C2"/>
  <c r="B60" i="25"/>
  <c r="J35"/>
  <c r="I35"/>
  <c r="H35"/>
  <c r="G35"/>
  <c r="F35"/>
  <c r="E35"/>
  <c r="D35"/>
  <c r="D60" s="1"/>
  <c r="D84" s="1"/>
  <c r="C35"/>
  <c r="K12"/>
  <c r="F5" i="22"/>
  <c r="C77" i="25" l="1"/>
  <c r="C74"/>
  <c r="F69"/>
  <c r="F74"/>
  <c r="C69"/>
  <c r="C68" s="1"/>
  <c r="E69"/>
  <c r="E74"/>
  <c r="D69"/>
  <c r="D77"/>
  <c r="D67"/>
  <c r="D66" s="1"/>
  <c r="D75"/>
  <c r="E76"/>
  <c r="F60"/>
  <c r="F84" s="1"/>
  <c r="J60"/>
  <c r="J84" s="1"/>
  <c r="H60"/>
  <c r="H84" s="1"/>
  <c r="C60"/>
  <c r="E60"/>
  <c r="E84" s="1"/>
  <c r="G60"/>
  <c r="G84" s="1"/>
  <c r="I60"/>
  <c r="I84" s="1"/>
  <c r="C84" l="1"/>
  <c r="C67"/>
  <c r="C66" s="1"/>
  <c r="C75"/>
  <c r="H67"/>
  <c r="H66" s="1"/>
  <c r="F67"/>
  <c r="F66" s="1"/>
  <c r="J75"/>
  <c r="J77"/>
  <c r="F75"/>
  <c r="G67"/>
  <c r="G66" s="1"/>
  <c r="I67"/>
  <c r="I66" s="1"/>
  <c r="E67"/>
  <c r="E66" s="1"/>
  <c r="J67"/>
  <c r="J66" s="1"/>
  <c r="H75"/>
  <c r="G75"/>
  <c r="I75"/>
  <c r="E75"/>
  <c r="J68"/>
  <c r="J74"/>
  <c r="G77" l="1"/>
  <c r="F77"/>
  <c r="E77"/>
  <c r="I77"/>
  <c r="H77"/>
  <c r="F68"/>
  <c r="E68"/>
  <c r="I68"/>
  <c r="I74"/>
  <c r="H68"/>
  <c r="H74"/>
  <c r="G68"/>
  <c r="G74"/>
  <c r="K4" l="1"/>
  <c r="D68" l="1"/>
</calcChain>
</file>

<file path=xl/comments1.xml><?xml version="1.0" encoding="utf-8"?>
<comments xmlns="http://schemas.openxmlformats.org/spreadsheetml/2006/main">
  <authors>
    <author>AILTON</author>
  </authors>
  <commentList>
    <comment ref="B63" authorId="0">
      <text>
        <r>
          <rPr>
            <b/>
            <sz val="14"/>
            <color indexed="81"/>
            <rFont val="Tahoma"/>
            <family val="2"/>
          </rPr>
          <t>MARGEM MINIMA:</t>
        </r>
        <r>
          <rPr>
            <sz val="14"/>
            <color indexed="81"/>
            <rFont val="Tahoma"/>
            <family val="2"/>
          </rPr>
          <t xml:space="preserve"> 
( PrecoDeCompras * MARGEM_MINIMA )</t>
        </r>
      </text>
    </comment>
    <comment ref="B66" authorId="0">
      <text>
        <r>
          <rPr>
            <b/>
            <sz val="14"/>
            <color indexed="81"/>
            <rFont val="Tahoma"/>
            <family val="2"/>
          </rPr>
          <t>PREÇO TOTAL:</t>
        </r>
        <r>
          <rPr>
            <sz val="14"/>
            <color indexed="81"/>
            <rFont val="Tahoma"/>
            <family val="2"/>
          </rPr>
          <t xml:space="preserve">
( TIRAGEM * ValorUnitarioMKT )</t>
        </r>
      </text>
    </comment>
    <comment ref="B67" authorId="0">
      <text>
        <r>
          <rPr>
            <b/>
            <sz val="14"/>
            <color indexed="81"/>
            <rFont val="Tahoma"/>
            <family val="2"/>
          </rPr>
          <t>PREÇO UNITARIO:</t>
        </r>
        <r>
          <rPr>
            <sz val="14"/>
            <color indexed="81"/>
            <rFont val="Tahoma"/>
            <family val="2"/>
          </rPr>
          <t xml:space="preserve">
( PrecoMKT / TIRAGEM )</t>
        </r>
      </text>
    </comment>
    <comment ref="B68" authorId="0">
      <text>
        <r>
          <rPr>
            <b/>
            <sz val="14"/>
            <color indexed="81"/>
            <rFont val="Tahoma"/>
            <family val="2"/>
          </rPr>
          <t>MARGEM:</t>
        </r>
        <r>
          <rPr>
            <sz val="14"/>
            <color indexed="81"/>
            <rFont val="Tahoma"/>
            <family val="2"/>
          </rPr>
          <t xml:space="preserve">
( MargemBrutaMKT / PrecoMKT )</t>
        </r>
      </text>
    </comment>
    <comment ref="B69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PrecoMKT - SomaCustos )</t>
        </r>
      </text>
    </comment>
    <comment ref="B72" authorId="0">
      <text>
        <r>
          <rPr>
            <b/>
            <sz val="14"/>
            <color indexed="81"/>
            <rFont val="Tahoma"/>
            <family val="2"/>
          </rPr>
          <t>PREÇO DE COMPRAS:</t>
        </r>
        <r>
          <rPr>
            <sz val="14"/>
            <color indexed="81"/>
            <rFont val="Tahoma"/>
            <family val="2"/>
          </rPr>
          <t xml:space="preserve">
( PrecoMKT * (100%-DescontoPadrao) )</t>
        </r>
      </text>
    </comment>
    <comment ref="B74" authorId="0">
      <text>
        <r>
          <rPr>
            <b/>
            <sz val="14"/>
            <color indexed="81"/>
            <rFont val="Tahoma"/>
            <family val="2"/>
          </rPr>
          <t>MARGEM MINIMA DE COMPRAS:</t>
        </r>
        <r>
          <rPr>
            <sz val="14"/>
            <color indexed="81"/>
            <rFont val="Tahoma"/>
            <family val="2"/>
          </rPr>
          <t xml:space="preserve">
( +(PrecoDeCompras-SomaCustos)/PrecoDeCompras )</t>
        </r>
      </text>
    </comment>
    <comment ref="B75" authorId="0">
      <text>
        <r>
          <rPr>
            <b/>
            <sz val="14"/>
            <color indexed="81"/>
            <rFont val="Tahoma"/>
            <family val="2"/>
          </rPr>
          <t>PREÇO UNITARIO DE COMPRAS:</t>
        </r>
        <r>
          <rPr>
            <sz val="14"/>
            <color indexed="81"/>
            <rFont val="Tahoma"/>
            <family val="2"/>
          </rPr>
          <t xml:space="preserve">
( PrecoDeCompras/TIRAGEM )</t>
        </r>
      </text>
    </comment>
    <comment ref="B76" authorId="0">
      <text>
        <r>
          <rPr>
            <b/>
            <sz val="14"/>
            <color indexed="81"/>
            <rFont val="Tahoma"/>
            <family val="2"/>
          </rPr>
          <t>DESCONTO DE COMPRAS X MARKET:</t>
        </r>
        <r>
          <rPr>
            <sz val="14"/>
            <color indexed="81"/>
            <rFont val="Tahoma"/>
            <family val="2"/>
          </rPr>
          <t xml:space="preserve">
( +(PrecoDeCompras/PrecoMKT)-1 )</t>
        </r>
      </text>
    </comment>
    <comment ref="B77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PrecoTotal-SomaCustos )</t>
        </r>
      </text>
    </comment>
    <comment ref="B79" authorId="0">
      <text>
        <r>
          <rPr>
            <b/>
            <sz val="14"/>
            <color indexed="81"/>
            <rFont val="Tahoma"/>
            <family val="2"/>
          </rPr>
          <t>PRODUTO:</t>
        </r>
        <r>
          <rPr>
            <sz val="14"/>
            <color indexed="81"/>
            <rFont val="Tahoma"/>
            <family val="2"/>
          </rPr>
          <t xml:space="preserve">
( VALOR FIXO )</t>
        </r>
      </text>
    </comment>
    <comment ref="B80" authorId="0">
      <text>
        <r>
          <rPr>
            <b/>
            <sz val="14"/>
            <color indexed="81"/>
            <rFont val="Tahoma"/>
            <family val="2"/>
          </rPr>
          <t xml:space="preserve">SERVIÇO:
</t>
        </r>
        <r>
          <rPr>
            <sz val="14"/>
            <color indexed="81"/>
            <rFont val="Tahoma"/>
            <family val="2"/>
          </rPr>
          <t>( VALOR FIXO )</t>
        </r>
      </text>
    </comment>
    <comment ref="B82" authorId="0">
      <text>
        <r>
          <rPr>
            <b/>
            <sz val="14"/>
            <color indexed="81"/>
            <rFont val="Tahoma"/>
            <family val="2"/>
          </rPr>
          <t>PREÇO DE VENDA GROSS:</t>
        </r>
        <r>
          <rPr>
            <sz val="14"/>
            <color indexed="81"/>
            <rFont val="Tahoma"/>
            <family val="2"/>
          </rPr>
          <t xml:space="preserve">
( +PrecoMKT/PRODUTO )
( +PrecoMKT/SERVIÇO )</t>
        </r>
      </text>
    </comment>
    <comment ref="B84" authorId="0">
      <text>
        <r>
          <rPr>
            <b/>
            <sz val="14"/>
            <color indexed="81"/>
            <rFont val="Tahoma"/>
            <family val="2"/>
          </rPr>
          <t>UNITARIO GROSS:</t>
        </r>
        <r>
          <rPr>
            <sz val="14"/>
            <color indexed="81"/>
            <rFont val="Tahoma"/>
            <family val="2"/>
          </rPr>
          <t xml:space="preserve">
( +ARREDONDAMENTO/TIRAGEM )</t>
        </r>
      </text>
    </comment>
    <comment ref="B86" authorId="0">
      <text>
        <r>
          <rPr>
            <b/>
            <sz val="14"/>
            <color indexed="81"/>
            <rFont val="Tahoma"/>
            <family val="2"/>
          </rPr>
          <t>PREÇO TOTAL (FASCICULOS):</t>
        </r>
        <r>
          <rPr>
            <sz val="14"/>
            <color indexed="81"/>
            <rFont val="Tahoma"/>
            <family val="2"/>
          </rPr>
          <t xml:space="preserve">
( PRECO_VENDA_GROSS * FASCICULOS )</t>
        </r>
      </text>
    </comment>
  </commentList>
</comments>
</file>

<file path=xl/sharedStrings.xml><?xml version="1.0" encoding="utf-8"?>
<sst xmlns="http://schemas.openxmlformats.org/spreadsheetml/2006/main" count="1692" uniqueCount="1288">
  <si>
    <t>JOURNAL OF NEUROPATHOLOGY &amp; EXPERIMENTAL NEUROLOGY - ( 00223069 )</t>
  </si>
  <si>
    <t>Journal of Neuroscience Nursing - ( 08880395 )</t>
  </si>
  <si>
    <t>JOURNAL OF NEUROSURGICAL ANESTHESIA - ( 08984921 )</t>
  </si>
  <si>
    <t>JOURNAL OF NURSING ADMINISTRATION - ( 00020443 )</t>
  </si>
  <si>
    <t>JOURNAL OF NURSING CARE QUALITY - ( 10573631 )</t>
  </si>
  <si>
    <t>JOURNAL OF OCCUPATIONAL &amp; ENVIRONMENTAL MEDICINE - ( 10762752 )</t>
  </si>
  <si>
    <t>JOURNAL OF ORTHOPAEDIC TRAUMA - ( 08905339 )</t>
  </si>
  <si>
    <t>JOURNAL OF PATIENT SAFETY - ( 15498417 )</t>
  </si>
  <si>
    <t>JOURNAL OF PEDIATRIC GASTROENTEROLOGY &amp; NUTRITION - ( 02772116 )</t>
  </si>
  <si>
    <t>JOURNAL OF PEDIATRIC HEMATOLOGY/ONCOLOGY - ( 10774114 )</t>
  </si>
  <si>
    <t>JOURNAL OF PEDIATRIC ORTHOPAEDICS - ( 02716798 )</t>
  </si>
  <si>
    <t>JOURNAL OF PEDIATRIC ORTHOPAEDICS, PART B - ( 1060152X )</t>
  </si>
  <si>
    <t>JOURNAL OF PELVIC MEDICINE AND SURGERY - ( 15425983 )</t>
  </si>
  <si>
    <t>JOURNAL OF PERINATAL &amp; NEONATAL NURSING - ( 08932190 )</t>
  </si>
  <si>
    <t>JOURNAL OF PROSTHETICS &amp; ORTHOTICS - ( 10408800 )</t>
  </si>
  <si>
    <t>JOURNAL OF PSYCHIATRIC PRACTICE - ( 15274160 )</t>
  </si>
  <si>
    <t>JOURNAL OF PUBLIC HEALTH MANAGEMENT AND PRACTICE - ( 10784659 )</t>
  </si>
  <si>
    <t>JOURNAL OF SPINAL DISORDERS - ( 15360652 )</t>
  </si>
  <si>
    <t>JOURNAL OF STRENGTH AND CONDITIONING RESEARCH - ( 10648011 )</t>
  </si>
  <si>
    <t>JOURNAL OF THORACIC IMAGING - ( 08835993 )</t>
  </si>
  <si>
    <t>JOURNAL OF THORACIC ONCOLOGY - ( 15560864 )</t>
  </si>
  <si>
    <t>JOURNAL OF THORACIC ONCOLOGY ONLINE - ( 15561380 )</t>
  </si>
  <si>
    <t>JOURNAL OF TRAUMA INJURY INFECTION &amp; CRITICAL CARE - ( 00225282 )</t>
  </si>
  <si>
    <t>JOURNAL OF TRAUMA NURSING - ( 10787496 )</t>
  </si>
  <si>
    <t>Journal of Urology - Elsevier - ( 00225347 )</t>
  </si>
  <si>
    <t>Journal of Women's Dermatologic Society - ( 20902565 )</t>
  </si>
  <si>
    <t>JOURNAL OF WOUND, OSTOMY, &amp; CONTINENCE NURSING - ( 10715754 )</t>
  </si>
  <si>
    <t>Journal Title - ( 978078177749 )</t>
  </si>
  <si>
    <t>Kaplan &amp; Sadock: Manual de bolsillo de psiquiatria - ( 9788493531867 )</t>
  </si>
  <si>
    <t>Kaplan and Sadock's Concise Textbook of Clinical P - ( 9780781787468 )</t>
  </si>
  <si>
    <t>Kaplan and Sadock's Pocket Handbook of Clinical Ps - ( 9781605472645 )</t>
  </si>
  <si>
    <t>Kaplan and Sadock's Synopsis of Psychiatry Behavio - ( 9780781773270 )</t>
  </si>
  <si>
    <t>Kaplan&amp;Saddocks Textbook of Psychiatry - ( 9780781768993 )</t>
  </si>
  <si>
    <t>Kaplan's Clinical Hypertension, 10th Edition (LWW - ( 9781605475035 )</t>
  </si>
  <si>
    <t>Knowledge Centers - ( 520016 )</t>
  </si>
  <si>
    <t>KOL profilin and development - ( 301311 )</t>
  </si>
  <si>
    <t>Langman's embriologia medica - ( 9788496921467 )</t>
  </si>
  <si>
    <t>LARYNGOSCOPE - ( 0023852X )</t>
  </si>
  <si>
    <t>Learning Clinical Reasoning - ( 9788496921771 )</t>
  </si>
  <si>
    <t>Letter to editor/case report/short communication - ( 301314 )</t>
  </si>
  <si>
    <t>Lewis's Child and Adolescent Psychiatry: A Compreh - ( 9780781762144 )</t>
  </si>
  <si>
    <t>Licensing - ( 399873 )</t>
  </si>
  <si>
    <t>LIPPINCOTT'S BONE AND JOINT NEWSLETTER - ( 19388659 )</t>
  </si>
  <si>
    <t>Lippincott's Primary Care Psychiatry (LWW Book) - ( 9780781798211 )</t>
  </si>
  <si>
    <t>LIR Biologia celular y molecular - ( 9788496921726 )</t>
  </si>
  <si>
    <t>LIR. Bioquímica - ( 9788496921894 )</t>
  </si>
  <si>
    <t>Literature monitoring service - ( 301322 )</t>
  </si>
  <si>
    <t>LMS AFF Dfeed Pri Ren - ( 300101 )</t>
  </si>
  <si>
    <t>LMS ALL CDROM - ( 300116 )</t>
  </si>
  <si>
    <t>LMS ALZ Inet (Adis) Pri Ren - ( 300102 )</t>
  </si>
  <si>
    <t>LMS ARR Inet (Adis) Pri Ren - ( 300103 )</t>
  </si>
  <si>
    <t>LMS DIA Inet (Adis) Pri New - ( 300108 )</t>
  </si>
  <si>
    <t>LMS EPI Inet (Adis) Pri Ren - ( 300109 )</t>
  </si>
  <si>
    <t>LMS HTF Inet (Adis) Pri Ren - ( 300111 )</t>
  </si>
  <si>
    <t>LMS HYP Inet (Adis) Pri Ren - ( 300112 )</t>
  </si>
  <si>
    <t>LMS LIP Inet (Adis) Pri Ren - ( 300115 )</t>
  </si>
  <si>
    <t>LMS MEN Inet (Adis) Pri Ren - ( 300135 )</t>
  </si>
  <si>
    <t>LMS NEU Dfeed Pri Ren - ( 300136 )</t>
  </si>
  <si>
    <t>LMS OBE Inet (Adis) Pri Ren - ( 300138 )</t>
  </si>
  <si>
    <t>LMS PSO Dfeed Pri Ren - ( 300141 )</t>
  </si>
  <si>
    <t>LMS RHE Inet (Adis) Pri Ren - ( 300144 )</t>
  </si>
  <si>
    <t>LMS SER Inet (Adis) Pri Ren - ( 300145 )</t>
  </si>
  <si>
    <t>LMS THR Inet (Adis) Pri Ren - ( 300146 )</t>
  </si>
  <si>
    <t>LMS TRS Print Ext New - ( 300148 )</t>
  </si>
  <si>
    <t>LMS WOM Inet (Adis) Pri Ren - ( 300149 )</t>
  </si>
  <si>
    <t>Local Editions - ( 399874 )</t>
  </si>
  <si>
    <t>Localization in Clinical Neurology - ( 9780781799522 )</t>
  </si>
  <si>
    <t>LPN 2008 - ( 15530582 )</t>
  </si>
  <si>
    <t>Lung Cancer - Principles &amp; Practice - ( 978078174620 )</t>
  </si>
  <si>
    <t>LWW iPhone Apps - ( 300224 )</t>
  </si>
  <si>
    <t>LWWTE - ( 300132 )</t>
  </si>
  <si>
    <t>Man tratamiento de las enfermedades dermatológicas - ( 9788496921269 )</t>
  </si>
  <si>
    <t>Management fee - ( 301318 )</t>
  </si>
  <si>
    <t>Manual de bolsillo de psiquiatría, 5ª - ( 9788496921849 )</t>
  </si>
  <si>
    <t>Manual de epilepsia - ( 9788496921306 )</t>
  </si>
  <si>
    <t>Manual de Gastroenterologia - ( 9788493531843 )</t>
  </si>
  <si>
    <t>Manual de medicina cardiovascular - ( 9788496921412 )</t>
  </si>
  <si>
    <t>Manual de medicina intensiva del Massachussetts Ge - ( 9788496921801 )</t>
  </si>
  <si>
    <t>Manual de Nefrologia - Schrier - ( 9788496921443 )</t>
  </si>
  <si>
    <t>Manual de Neonatologia - ( 9788496921191 )</t>
  </si>
  <si>
    <t>Manual de Oftalmologia de Wills Eye Institute - ( 9788496921221 )</t>
  </si>
  <si>
    <t>Manual de Oncologia Clinica - Casciato - ( 9788496921344 )</t>
  </si>
  <si>
    <t>Manual del control urgente de la via aerea - ( 9788496921337 )</t>
  </si>
  <si>
    <t>Manual of Clinical Oncology - ( 9780781768849 )</t>
  </si>
  <si>
    <t>Manual of Endocrinology and Metabolism - ( 9788496921597 )</t>
  </si>
  <si>
    <t>Manual of Endocrinology and Metabolism, 4th Editio - ( 9780781768863 )</t>
  </si>
  <si>
    <t>Manual of Medical Therapeutics - ( 9788493558369 )</t>
  </si>
  <si>
    <t>Manual of Musculoskeletal Medicine - ( 9780781779197 )</t>
  </si>
  <si>
    <t>Manual of Nephrology: Diagnosis and Therapy; 7th E - ( 9780781796194 )</t>
  </si>
  <si>
    <t>Manual of neurologic therapeutics - ( 9788496921733 )</t>
  </si>
  <si>
    <t>Manual Washington de medicina interna ambulatoria - ( 9788496921887 )</t>
  </si>
  <si>
    <t>Manual Washington de terapeutica médica - ( 9788496921603 )</t>
  </si>
  <si>
    <t>MARRIOTT ELECTROCARDIOGRAFIA PRACTICA - ( 9788496921252 )</t>
  </si>
  <si>
    <t>Marriott's Practical Electrocardiography - ( 9780781797382 )</t>
  </si>
  <si>
    <t>Masaje Terapeutico Basico - ( 9788496921238 )</t>
  </si>
  <si>
    <t>Massachusetts Gen Hosp Handbook Neurology - ( 9780781751377 )</t>
  </si>
  <si>
    <t>Master Techniques in Orthopaedic Surgery - ( 9780781752909 )</t>
  </si>
  <si>
    <t>Master Techniques in Orthopaedic Surgery: The Hip - ( 9780781746342 )</t>
  </si>
  <si>
    <t>Mastery Endovasculare Interventions 1st Edition - ( 9781582559674 )</t>
  </si>
  <si>
    <t>MC - ( 301301 )</t>
  </si>
  <si>
    <t>MC - ( 301304 )</t>
  </si>
  <si>
    <t>MC - ( 301307 )</t>
  </si>
  <si>
    <t>MC - ( 301310 )</t>
  </si>
  <si>
    <t>MC - ( 301314 )</t>
  </si>
  <si>
    <t>MC - ( 301317 )</t>
  </si>
  <si>
    <t>MC - ( 302326 )</t>
  </si>
  <si>
    <t>MC - ( 303315 )</t>
  </si>
  <si>
    <t>MC - ( 303326 )</t>
  </si>
  <si>
    <t>MC_Ad Board - ( 301326 )</t>
  </si>
  <si>
    <t>MC_Congress - ( 301319 )</t>
  </si>
  <si>
    <t>MC_External - ( 301309 )</t>
  </si>
  <si>
    <t>MC_Management - ( 301318 )</t>
  </si>
  <si>
    <t>MC_Meetings - ( 301324 )</t>
  </si>
  <si>
    <t>MC_Original - ( 301315 )</t>
  </si>
  <si>
    <t>MC_Review - ( 301316 )</t>
  </si>
  <si>
    <t>MC_Satellite - ( 301323 )</t>
  </si>
  <si>
    <t>MC_Website - ( 301305 )</t>
  </si>
  <si>
    <t>MCN THE AMERICAN JOURNAL OF MATERNAL/CHILD - ( 0361929X )</t>
  </si>
  <si>
    <t>MCs -HAC:  CME - ( 300214 )</t>
  </si>
  <si>
    <t>MCs -HAE:  Health Outcomes - ( 300213 )</t>
  </si>
  <si>
    <t>MCs -HCO:  Consulting - ( 300211 )</t>
  </si>
  <si>
    <t>MCs -HMM:  Core business - ( 300210 )</t>
  </si>
  <si>
    <t>MCs -HPA:  Payor - ( 300212 )</t>
  </si>
  <si>
    <t>MED COMMS EXPENSE - ( 300134 )</t>
  </si>
  <si>
    <t>MEDICAL CARE - ( 00257079 )</t>
  </si>
  <si>
    <t>MEDICAL CARE ONLINE - ( 15371948 )</t>
  </si>
  <si>
    <t>MEDICAL INNOVATION &amp; BUSINESS - ( 19430701 )</t>
  </si>
  <si>
    <t>Medical Journal of the NRC - ( 20905386 )</t>
  </si>
  <si>
    <t>Medical Terminology: An Illustrated Guide; 5th Edi - ( 9780781772600 )</t>
  </si>
  <si>
    <t>Medicina de Bolsillo - ( 9788496921177 )</t>
  </si>
  <si>
    <t>Medicina de Bolsillo, 4ª - ( 9788496921900 )</t>
  </si>
  <si>
    <t>MEDICINE - ( 00257974 )</t>
  </si>
  <si>
    <t>MEDICINE &amp; SCIENCE IN SPORTS &amp; EXERCISE - ( 01959131 )</t>
  </si>
  <si>
    <t>Meetings other materials - ( 301324 )</t>
  </si>
  <si>
    <t>MELANOMA RESEARCH - ( 09608931 )</t>
  </si>
  <si>
    <t>MEMMLER'S HUMAN BODY IN HEALTH AND DISEASE - ( 9788496921566 )</t>
  </si>
  <si>
    <t>MEN IN NURSING - ( 15586243 )</t>
  </si>
  <si>
    <t>MENOPAUSE - ( 10723714 )</t>
  </si>
  <si>
    <t>Merritts Neurology Rowland - ( 9788496921672 )</t>
  </si>
  <si>
    <t>Merritt's Neurology, 12th Edition (LWW Book) - ( 9780781791861 )</t>
  </si>
  <si>
    <t>Microbiologia (LIR) - ( 9788496921153 )</t>
  </si>
  <si>
    <t>Microbiology Recall - ( 9780781751933 )</t>
  </si>
  <si>
    <t>Middle East Current Psychiatry - ( 20905416 )</t>
  </si>
  <si>
    <t>Molecular &amp; Genetic Basis of Neurologic &amp; Psychiat - ( 9780781769563 )</t>
  </si>
  <si>
    <t>MOLECULAR DIAGNOSIS &amp; THERAPY - ( 10848592 )</t>
  </si>
  <si>
    <t>Molecular Diagnosis &amp; Therapy - ( 11771062 )</t>
  </si>
  <si>
    <t>Neonatal and Pediatric Pharmacology: Therapeutic P - ( 9780781795388 )</t>
  </si>
  <si>
    <t>NEPHROLOGY TIMES - ( 19405960 )</t>
  </si>
  <si>
    <t>Neuroanatomia Clínica - ( 9788496921511 )</t>
  </si>
  <si>
    <t>Neuroanatomy: An Atlas of Structures, Sections &amp; S - ( 9780781763288 )</t>
  </si>
  <si>
    <t>NEUROLOGY - ( 00283878 )</t>
  </si>
  <si>
    <t>Neurology for the Non-Neurologist, Sixth Edition ( - ( 9781605472393 )</t>
  </si>
  <si>
    <t>NEUROLOGY NOW - ( 15533271 )</t>
  </si>
  <si>
    <t>NEUROLOGY TODAY - ( 15337006 )</t>
  </si>
  <si>
    <t>NEUROREPORT - ( 09594965 )</t>
  </si>
  <si>
    <t>Neuroscience - ( 9788496921092 )</t>
  </si>
  <si>
    <t>NEUROSURGERY - ( 0148396X )</t>
  </si>
  <si>
    <t>NEUROSURGERY ONLINE - ( 15244040 )</t>
  </si>
  <si>
    <t>NEUROSURGERY QUARTERLY - ( 10506438 )</t>
  </si>
  <si>
    <t>NL ALL - ( 300137 )</t>
  </si>
  <si>
    <t>NMS Medicina Interna - ( 9788496921351 )</t>
  </si>
  <si>
    <t>NMS Pediatrics Softbound - ( 9780781770750 )</t>
  </si>
  <si>
    <t>NMS Q &amp; A: Family Medicine 2nd Edition (LWW Book) - ( 9780781791885 )</t>
  </si>
  <si>
    <t>NMS: Cirugía - Jarrell - ( 9788496921375 )</t>
  </si>
  <si>
    <t>NMS: Medicina Interna - Wolfsthal - ( 9789496921351 )</t>
  </si>
  <si>
    <t>NMS: Obstetricia y Ginecologia - Pfeifer - ( 9788496921368 )</t>
  </si>
  <si>
    <t>NMS: Pediatria - Dworkin - ( 9788496921429 )</t>
  </si>
  <si>
    <t>Non-Hodgkin Lymphomas, 2nd Edition (LWW Book) - ( 9780781791168 )</t>
  </si>
  <si>
    <t>Novaks' Gynecology - ( 9788496921061 )</t>
  </si>
  <si>
    <t>NUCLEAR MEDICINE COMMUNICATIONS - ( 01433636 )</t>
  </si>
  <si>
    <t>NURSE EDUCATOR - ( 03633624 )</t>
  </si>
  <si>
    <t>NURSE PRACTITIONER: JRNL OF PRIMARY HEALTH CARE - ( 03611817 )</t>
  </si>
  <si>
    <t>NURSING 2008 - ( 03604039 )</t>
  </si>
  <si>
    <t>NURSING 2008 CRITICAL CARE - ( 1558447X )</t>
  </si>
  <si>
    <t>NURSING ADMINISTRATION QUARTERLY - ( 03639568 )</t>
  </si>
  <si>
    <t>NURSING MADE INCREDIBLY EASY - ( 15445186 )</t>
  </si>
  <si>
    <t>NURSING MANAGEMENT - ( 07446314 )</t>
  </si>
  <si>
    <t>NURSING RESEARCH - ( 00296562 )</t>
  </si>
  <si>
    <t>NUTRITION AND DIAGNOSIS-RELATED CARE - ( 9788496921498 )</t>
  </si>
  <si>
    <t>Nutrition in Clinical Practice - ( 9788496921528 )</t>
  </si>
  <si>
    <t>NUTRITION RESEARCH REVIEW ONLINE - ( 14752700 )</t>
  </si>
  <si>
    <t>NUTRITION TODAY - ( 0029666X )</t>
  </si>
  <si>
    <t>OBSTETRIC ANESTHESIA DIGEST - ( 0275665X )</t>
  </si>
  <si>
    <t>Obstetrica y Ginecología de Danforth - ( 9788496921320 )</t>
  </si>
  <si>
    <t>OBSTETRICAL &amp; GYNECOLOGICAL SURVEY - ( 00297828 )</t>
  </si>
  <si>
    <t>Obstetricia y Ginecologia - ( 9788496921634 )</t>
  </si>
  <si>
    <t>OBSTETRICS &amp; GYNECOLOGY - ( 00297844 )</t>
  </si>
  <si>
    <t>Ocular Inflammatory Disease and Uveitis Manual: Di - ( 9780781798365 )</t>
  </si>
  <si>
    <t>OGP: Obstetricia y ginecología de postgrado - ( 300096 )</t>
  </si>
  <si>
    <t>ONCOLOGY TIMES - ( 02762234 )</t>
  </si>
  <si>
    <t>ONCOLOGY TIMES UK VERSION - ( 17428009 )</t>
  </si>
  <si>
    <t>Online Dialog - ( 300140 )</t>
  </si>
  <si>
    <t>Online-International Ophthalmology Clinics - ( 15369617 )</t>
  </si>
  <si>
    <t>Operative Techniques in Foot and Ankle Surgery; 1s - ( 9781608319046 )</t>
  </si>
  <si>
    <t>Operative Techniques in Hand, Wrist, and Forearm S - ( 9781451102550 )</t>
  </si>
  <si>
    <t>Operative Techniques in Orthopaedic Surgery, First - ( 9780781763707 )</t>
  </si>
  <si>
    <t>Operative Techniques in Orthopaedic Trauma Surgery - ( 9781451102604 )</t>
  </si>
  <si>
    <t>OPHTHALMIC PLASTIC &amp; RECONSTRUCTIVE SURGERY - ( 07409303 )</t>
  </si>
  <si>
    <t>OPHTHALMIC PLASTIC &amp; RECONSTRUCTIVE SURGERY ONLINE - ( 15372677 )</t>
  </si>
  <si>
    <t>Ophthalmology - ( 300119 )</t>
  </si>
  <si>
    <t>Opthalmology Management - ( 15320316 )</t>
  </si>
  <si>
    <t>OPTOMETRY &amp; VISION SCIENCE - ( 10405488 )</t>
  </si>
  <si>
    <t>OR NURSE 2008 - ( 19333145 )</t>
  </si>
  <si>
    <t>Original research manuscript - ( 301315 )</t>
  </si>
  <si>
    <t>ORTHOPEDIC NURSING - ( 07446020 )</t>
  </si>
  <si>
    <t>Other detail and access aids - ( 301306 )</t>
  </si>
  <si>
    <t>OTOLOGY &amp; NEUROTOLOGY - ( 15317129 )</t>
  </si>
  <si>
    <t>PACK ANATOMIA LIPPINCOTT - ( 9788496921436 )</t>
  </si>
  <si>
    <t>PACK MICROBIOLOGIA E INMUNOLOGIA LIPPINCOTT - ( 9788496921450 )</t>
  </si>
  <si>
    <t>PANCREAS - ( 08853177 )</t>
  </si>
  <si>
    <t>PANCREAS ONLINE - ( 15364828 )</t>
  </si>
  <si>
    <t>Pathology - ( 00313025 )</t>
  </si>
  <si>
    <t>PATHOLOGY CASE REVIEWS - ( 10829784 )</t>
  </si>
  <si>
    <t>Pathology of Bone Marrow and Blood Cells - ( 9780781770934 )</t>
  </si>
  <si>
    <t>Patient Care Management - ( 15328880 )</t>
  </si>
  <si>
    <t>Patient Materials - ( 301307 )</t>
  </si>
  <si>
    <t>Patología mamaria - ( 9788496921627 )</t>
  </si>
  <si>
    <t>Pediatria de Bolsillo - ( 9788496921658 )</t>
  </si>
  <si>
    <t>PEDIATRIC CRITICAL CARE MEDICINE - ( 15297535 )</t>
  </si>
  <si>
    <t>PEDIATRIC DRUGS - ( 11745878 )</t>
  </si>
  <si>
    <t>PEDIATRIC EMERGENCY CARE - ( 07495161 )</t>
  </si>
  <si>
    <t>PEDIATRIC PHYSICAL THERAPY - ( 08985669 )</t>
  </si>
  <si>
    <t>PEDIATRIC RESEARCH - ( 00313998 )</t>
  </si>
  <si>
    <t>PEDIATRICS TODAY - ( 11745894 )</t>
  </si>
  <si>
    <t>Peripheral Nerve Blocks - ( 9780781743396 )</t>
  </si>
  <si>
    <t>Personality Disorders: A Practical Guide (LWW Book - ( 9780781794015 )</t>
  </si>
  <si>
    <t>Pharmaceutical &amp; Diagnostic Innovation - ( 01173469 )</t>
  </si>
  <si>
    <t>Pharmaceutical &amp; Diagnostic Innovation - ( 11763469 )</t>
  </si>
  <si>
    <t>Pharmaceutical Development &amp; Regulation - ( 11759046 )</t>
  </si>
  <si>
    <t>PHARMACEUTICAL MEDICINE - ( 11782595 )</t>
  </si>
  <si>
    <t>PHARMACO ECONOMICS &amp; OUTCOMES NEWS - ( 11735503 )</t>
  </si>
  <si>
    <t>PHARMACOECONOMICS - ( 11707690 )</t>
  </si>
  <si>
    <t>Pharmacoeconomics - ( 4768997 )</t>
  </si>
  <si>
    <t>PharmacoEconomics Italian Research Articles - ( 15909158 )</t>
  </si>
  <si>
    <t>Pharmacoeconomics Spanish Research Article - ( 1695405X )</t>
  </si>
  <si>
    <t>PHARMACOGENETICS &amp; GENOMICS - ( 17446872 )</t>
  </si>
  <si>
    <t>Pharmacovigilance Insight (RPI) - ( 300215 )</t>
  </si>
  <si>
    <t>PharmaNewsFeed - ( 300142 )</t>
  </si>
  <si>
    <t>Physiological Origins of Heart Sounds &amp; Murmurs - ( 9780781716208 )</t>
  </si>
  <si>
    <t>PLASTIC &amp; RECONSTRUCTIVE SURGERY - ( 00321052 )</t>
  </si>
  <si>
    <t>PLASTIC SURGICAL NURSING - ( 07415206 )</t>
  </si>
  <si>
    <t>PLEXUS - ( 1938453X )</t>
  </si>
  <si>
    <t>Pocket Anaesthesia - ( 9780781727679 )</t>
  </si>
  <si>
    <t>Pocket Anesthesia - ( 9780781795845 )</t>
  </si>
  <si>
    <t>Pocket book of Infectious Disease Therapy - ( 9780781774062 )</t>
  </si>
  <si>
    <t>Pocket Medicine, 4th Edition (LWW Book) - ( 9781608319053 )</t>
  </si>
  <si>
    <t>Pocket Neurology, First Edition (LWW Book) - ( 9781608312566 )</t>
  </si>
  <si>
    <t>POINT OF CARE: JRNL OF NEAR-PATIENT TESTING &amp; TECH - ( 1533029X )</t>
  </si>
  <si>
    <t>POSTGRADUATE OBSTETRICS AND GYNECOLOGY - ( 01943898 )</t>
  </si>
  <si>
    <t>Primary Care Medicine: Office Evaluation and Manag - ( 9780781775137 )</t>
  </si>
  <si>
    <t>Primo Gastro: The Pocket GI/Liver Companion - ( 9780781779449 )</t>
  </si>
  <si>
    <t>Principles and Practice of Dialysis, 4th Edition ( - ( 9780781781633 )</t>
  </si>
  <si>
    <t>Principles and Practice of Gynecologic Oncology, 5 - ( 9780781778459 )</t>
  </si>
  <si>
    <t>Principles and Practice of Lung Cancer: The Offici - ( 9780781773652 )</t>
  </si>
  <si>
    <t>Principles and Practice of Pediatric Oncology, 5th - ( 9781605476827 )</t>
  </si>
  <si>
    <t>Principles and Practice of Psychopharmacotherapy, - ( 9781605475653 )</t>
  </si>
  <si>
    <t>Principles and Practice of Surgical Oncology: A Mu - ( 9780781765466 )</t>
  </si>
  <si>
    <t>Principles of Addiction Medicine The Essentials So - ( 9781605477763 )</t>
  </si>
  <si>
    <t>Principles of Addiction Medicine, 4th Edition (LWW - ( 9780781774772 )</t>
  </si>
  <si>
    <t>Print modules / print based materials - ( 304330 )</t>
  </si>
  <si>
    <t>Proceedings Supplement - ( 301321 )</t>
  </si>
  <si>
    <t>Product or Disease Monograph - ( 301301 )</t>
  </si>
  <si>
    <t>PROFESSIONAL CASE MANAGEMENT - ( 19328087 )</t>
  </si>
  <si>
    <t>Pschiatric Aspects of HIV/AIDS Hardbound - ( 9781582557137 )</t>
  </si>
  <si>
    <t>PSYCHIATRIC GENETICS - ( 09558829 )</t>
  </si>
  <si>
    <t>Psychiatry LLF - ( 300117 )</t>
  </si>
  <si>
    <t>PSYCHOPHARM REVIEWS - ( 19369255 )</t>
  </si>
  <si>
    <t>PSYCHOSOMATIC MEDICINE - ( 00333174 )</t>
  </si>
  <si>
    <t>PUBLIC HEALTH NUTRITION ONLINE - ( 14752727 )</t>
  </si>
  <si>
    <t>Publication alerts - ( 301320 )</t>
  </si>
  <si>
    <t>Publication plan - ( 301317 )</t>
  </si>
  <si>
    <t>QUALITY MANAGEMENT IN HEALTHCARE - ( 10638628 )</t>
  </si>
  <si>
    <t>QUALITY OF CARE AND OUTCOMES RESEARCH COUNCIL - ( 12344567 )</t>
  </si>
  <si>
    <t>Radiologia 101 - ( 9788496921702 )</t>
  </si>
  <si>
    <t>RDC: Radiología y Diagnóstico contemporáneo - ( 300095 )</t>
  </si>
  <si>
    <t>RDI ALL CDROM Pri Ren - ( 300143 )</t>
  </si>
  <si>
    <t>REACTIONS WEEKLY - ( 01149954 )</t>
  </si>
  <si>
    <t>REAL LIVING WITH MULTIPLE SCLEROSIS - ( 10794220 )</t>
  </si>
  <si>
    <t>Regional Anesthesia &amp; Pain Medicine - ( 10987339 )</t>
  </si>
  <si>
    <t>Renal Pathophysiology - ( 9780781799959 )</t>
  </si>
  <si>
    <t>Renal Pathophysiology - ( 9788493558390 )</t>
  </si>
  <si>
    <t>RESPIRATION - ( 300030 )</t>
  </si>
  <si>
    <t>Respiratory Physiology: The Essentials; 8th Editio - ( 9780781772068 )</t>
  </si>
  <si>
    <t>RETINA - ( 0275004X )</t>
  </si>
  <si>
    <t>RETINAL CASES &amp; BRIEF REPORTS - ( 19351089 )</t>
  </si>
  <si>
    <t>Retinal Physician - ( 1552812X )</t>
  </si>
  <si>
    <t>Retinopatía diabética - ( 9788496921863 )</t>
  </si>
  <si>
    <t>Review of Clinical Anesthesia, 5th Edition (LWW Bo - ( 9780781789516 )</t>
  </si>
  <si>
    <t>Review paper (including those for supplements) - ( 301316 )</t>
  </si>
  <si>
    <t>REVIEWS IN MEDICAL MICROBIOLOGY - ( 0954139X )</t>
  </si>
  <si>
    <t>Rockwood and Green's Fractures In Adults, 7th Edit - ( 9781605476773 )</t>
  </si>
  <si>
    <t>Rosen and Barkin's 5-Minute Emergency Medicine Con - ( 9781608316304 )</t>
  </si>
  <si>
    <t>Rosen's Breast Pathology - ( 9780781771375 )</t>
  </si>
  <si>
    <t>RPW - ( 399877 )</t>
  </si>
  <si>
    <t>RPW 3rd Party iPhone Apps - ( 300225 )</t>
  </si>
  <si>
    <t>Sadock Sinopsis de Psiquiatria - ( 9788496921184 )</t>
  </si>
  <si>
    <t>Sanford Guide to Antimicrobial Therapy 2008 - ( 9781930808386 )</t>
  </si>
  <si>
    <t>Satellite symposium (abstract book, invitations, slide kit etc) - ( 301323 )</t>
  </si>
  <si>
    <t>Sauers' Manual of Skin Diseases - ( 9788493531898 )</t>
  </si>
  <si>
    <t>Sauer's Manual of Skin Diseases, 10th Edition (LWW - ( 9781605470771 )</t>
  </si>
  <si>
    <t>Sauer's Manual of Skin Diseases, 9th Edition - ( 9780781729475 )</t>
  </si>
  <si>
    <t>Science/Physiology - ( 300121 )</t>
  </si>
  <si>
    <t>Scientific Stmts - AHA - ( 300125 )</t>
  </si>
  <si>
    <t>SEXUALLY TRANSMITTED DISEASES - ( 01485717 )</t>
  </si>
  <si>
    <t>SEXUALLY TRANSMITTED DISEASES ONLINE - ( 15374521 )</t>
  </si>
  <si>
    <t>Shields' Textbook of Glaucoma, 6th Edition (LWW Bo - ( 9780781795852 )</t>
  </si>
  <si>
    <t>SHOCK - ( 10732322 )</t>
  </si>
  <si>
    <t>SIMULATION IN HEALTHCARE - ( 15592332 )</t>
  </si>
  <si>
    <t>Single-sponsored newsletter/journal - ( 301303 )</t>
  </si>
  <si>
    <t>Sinopsis de Psiquitria (case bound) - ( 9788496921382 )</t>
  </si>
  <si>
    <t>Snoring and Obstructive Sleep Apnea - ( 9780781740791 )</t>
  </si>
  <si>
    <t>SOIL SCIENCE - ( 0038075X )</t>
  </si>
  <si>
    <t>SOUTHERN MEDICAL JOURNAL - ( 00384348 )</t>
  </si>
  <si>
    <t>Spanish-English Medical Dictionary - ( 978078175011 )</t>
  </si>
  <si>
    <t>SPINE - ( 03622436 )</t>
  </si>
  <si>
    <t>SPORTS MEDICINE - ( 01121642 )</t>
  </si>
  <si>
    <t>SPORTS MEDICINE &amp; ARTHROSCOPY REVIEW - ( 10628592 )</t>
  </si>
  <si>
    <t>Springhouse ACC - ( 504200 )</t>
  </si>
  <si>
    <t>SpringhouseACC - ( 300133 )</t>
  </si>
  <si>
    <t>Standalone meeting (faculty and content management) - ( 301327 )</t>
  </si>
  <si>
    <t>Stedman's Electronic Medical Dictionary Version 7. - ( 9780781769167 )</t>
  </si>
  <si>
    <t>Stedman's Mecial Dictionary - ( 9780781733908 )</t>
  </si>
  <si>
    <t>Stedman's Oncology Words: Includes Hematology, HIV - ( 9780781773829 )</t>
  </si>
  <si>
    <t>STEDMAN'S PLUS PREMIUM EDITION - ( 15333515 )</t>
  </si>
  <si>
    <t>Strategic Communication plan - ( 301330 )</t>
  </si>
  <si>
    <t>STRENGTH AND CONDITIONING JOURNAL - ( 15241602 )</t>
  </si>
  <si>
    <t>STROKE - ( 00392499 )</t>
  </si>
  <si>
    <t>STROKE ONLINE - ( 15244628 )</t>
  </si>
  <si>
    <t>Substance Use Disorders - ( 9780781769983 )</t>
  </si>
  <si>
    <t>Surgery of the Breast (LWW Book) - ( 9781605475776 )</t>
  </si>
  <si>
    <t>Surgical Exposure in Orthopaedics - ( 9788496921542 )</t>
  </si>
  <si>
    <t>SURGICAL LAPAROSCOPY ENDOSCOPY &amp; PERCUTANEOUS - ( 15304515 )</t>
  </si>
  <si>
    <t>SURGICAL LAPAROSCOPY ENDOSCOPY &amp; PERCUTANEOUS - ( 15344908 )</t>
  </si>
  <si>
    <t>SURVEY OF ANESTHESIOLOGY - ( 00396206 )</t>
  </si>
  <si>
    <t>TECHNIQUES IN FOOT AND ANKLE SURGERY - ( 15360644 )</t>
  </si>
  <si>
    <t>TECHNIQUES IN HAND &amp; UPPER EXTREMITY SURGERY - ( 10893393 )</t>
  </si>
  <si>
    <t>TECHNIQUES IN KNEE SURGERY - ( 15360636 )</t>
  </si>
  <si>
    <t>TECHNIQUES IN OPHTHALMOLOGY: ADVANCES SURGERY - ( 15421929 )</t>
  </si>
  <si>
    <t>TECHNIQUES IN ORTHOPAEDICS - ( 08859698 )</t>
  </si>
  <si>
    <t>TECHNIQUES IN SHOULDER &amp; ELBOW SURGERY - ( 15239896 )</t>
  </si>
  <si>
    <t>TeLinde's Operative Gynecology - ( 9780781772351 )</t>
  </si>
  <si>
    <t>Temas Clave: Embriologia (BRS) - ( 9788496921146 )</t>
  </si>
  <si>
    <t>Temas Clave: Neuroanatomia (BRS) - ( 9788496921207 )</t>
  </si>
  <si>
    <t>Terapia Evidence Based - ( 20353162 )</t>
  </si>
  <si>
    <t>Textbook of Cardiovascular Medicine - ( 9788496921054 )</t>
  </si>
  <si>
    <t>Textbook of Pediatric Emergency Procedures, 2nd Ed - ( 9780781753869 )</t>
  </si>
  <si>
    <t>Textbooks - ( 300150 )</t>
  </si>
  <si>
    <t>The 5-Minute Clinical Consult - ( 9781608312597 )</t>
  </si>
  <si>
    <t>The 5-minute Clinical Consult 2010 - ( 9781605478135 )</t>
  </si>
  <si>
    <t>The 5-Minute Obstetrics and Gynecology Consult - ( 9780781769426 )</t>
  </si>
  <si>
    <t>The 5-Minute Urology Consult, 2nd Edition (LWW Boo - ( 9781582557229 )</t>
  </si>
  <si>
    <t>THE AMERICAN JOURNAL OF SURGICAL PATHOLOGY - ( 01475185 )</t>
  </si>
  <si>
    <t>THE AMERICAN JOURNAL OF THE MEDICAL SCIENCES - ( 00029629 )</t>
  </si>
  <si>
    <t>THE CANCER JOURNAL - ( 15289117 )</t>
  </si>
  <si>
    <t>The Chemotherapy Source Book 4th Edition (LWW Book - ( 9780781773287 )</t>
  </si>
  <si>
    <t>The Cleveland Clinic Intensive Review of Pediatric - ( 9781605471372 )</t>
  </si>
  <si>
    <t>THE CLINICAL JOURNAL OF PAIN - ( 07498047 )</t>
  </si>
  <si>
    <t>THE ENDOCRINOLOGIST - ( 10512144 )</t>
  </si>
  <si>
    <t>THE HEARING JOURNAL - ( 07457472 )</t>
  </si>
  <si>
    <t>The ICU Book - ( 9788493531881 )</t>
  </si>
  <si>
    <t>The Johns Hopkins Manual of Gynecology and Obstetr - ( 9780781767194 )</t>
  </si>
  <si>
    <t>The Johns Hopkins University Textbook of Dyslipide - ( 9780781782654 )</t>
  </si>
  <si>
    <t>THE JOURNAL OF NERVOUS &amp; MENTAL DISEASE - ( 00223018 )</t>
  </si>
  <si>
    <t>THE NEUROLOGIST - ( 10747931 )</t>
  </si>
  <si>
    <t>The Patient (Online) - ( 11781661 )</t>
  </si>
  <si>
    <t>The Patient (Print) - ( 11781653 )</t>
  </si>
  <si>
    <t>THE PEDIATRIC INFECTIOUS DISEASE JOURNAL - ( 08913668 )</t>
  </si>
  <si>
    <t>The Substance Abuse Handbook - ( 9780781760454 )</t>
  </si>
  <si>
    <t>The Topol Solution: Textbook of cardiovascular med - ( 9780781770125 )</t>
  </si>
  <si>
    <t>The Washington Manual of Infectious Diseases Subsp - ( 9780781743730 )</t>
  </si>
  <si>
    <t>The Washington Manual of Medical Therapeutics, 33r - ( 9781605470146 )</t>
  </si>
  <si>
    <t>The Washington Manual of Oncology, 2nd Edition (LW - ( 9780781784023 )</t>
  </si>
  <si>
    <t>The Washington Manual of Pediatrics - ( 9788496921559 )</t>
  </si>
  <si>
    <t>The Washington Manual of Pediatrics (LWW Book) - ( 9780781785761 )</t>
  </si>
  <si>
    <t>The Wills Eye Manual: Office and Emergency Room Di - ( 9780781769624 )</t>
  </si>
  <si>
    <t>THERAPEUTIC DRUG MONITORING - ( 01634356 )</t>
  </si>
  <si>
    <t>THERAPEUTIC DRUG MONITORING ONLINE ONLY VERSION - ( 15363694 )</t>
  </si>
  <si>
    <t>Therapie - ( 00405957 )</t>
  </si>
  <si>
    <t>Therapie - ( 300147 )</t>
  </si>
  <si>
    <t>THIRD PARTY CONTRACTUAL - ( 399879 )</t>
  </si>
  <si>
    <t>THIRD PARTY NON CONTRACTUAL - ( 399878 )</t>
  </si>
  <si>
    <t>Third Party ReUse - ( 399877 )</t>
  </si>
  <si>
    <t>TNM Staging Atlas (LWW Book) - ( 9780781760218 )</t>
  </si>
  <si>
    <t>TOPICS IN CLINICAL NUTRITION - ( 08835691 )</t>
  </si>
  <si>
    <t>TOPICS IN GERIATRIC REHAB - ( 08827524 )</t>
  </si>
  <si>
    <t>TOPICS IN LANGUAGE DISORDERS - ( 02718294 )</t>
  </si>
  <si>
    <t>TOPICS IN MAGNETIC RESONANCE IMAGING - ( 08993459 )</t>
  </si>
  <si>
    <t>Topics in Pain Management - ( 08825645 )</t>
  </si>
  <si>
    <t>TOPICS IN PAIN MANAGEMENT - ( 08825646 )</t>
  </si>
  <si>
    <t>Toxicological Reviews - ( 11762551 )</t>
  </si>
  <si>
    <t>Training materials (manuals/slide/kits/online tool) - ( 301304 )</t>
  </si>
  <si>
    <t>Training meeting (medically speaking/speaker training/ggp) - ( 301328 )</t>
  </si>
  <si>
    <t>Transplant Infections, 3rd Edition (LWW Book) - ( 9781582558202 )</t>
  </si>
  <si>
    <t>TRANSPLANTATION - ( 00411337 )</t>
  </si>
  <si>
    <t>TRANSPLANTATION ONLINE - ( 15340608 )</t>
  </si>
  <si>
    <t>Trastornos renales y electrolíticos - ( 9788496921795 )</t>
  </si>
  <si>
    <t>Treating Child and Adolescent Depression (LWW Book - ( 9780781795692 )</t>
  </si>
  <si>
    <t>Treatments in Endocrinology - ( 11756349 )</t>
  </si>
  <si>
    <t>TREATMENTS IN RESPIRATORY MEDICINE - ( 11763450 )</t>
  </si>
  <si>
    <t>ULTRASOUND QUARTERLY - ( 08948771 )</t>
  </si>
  <si>
    <t>Used for correcting previous entries with missing - ( CORRECTIONPS )</t>
  </si>
  <si>
    <t>Value Dossier - ( 301312 )</t>
  </si>
  <si>
    <t>Vascular and Interventional Radiology - ( 10510443 )</t>
  </si>
  <si>
    <t>Vitreous Microsurgery,  5th Edition (LWW Book) - ( 9781608315031 )</t>
  </si>
  <si>
    <t>Voucher Program - 1st Invoice for general costs - ( 350100 )</t>
  </si>
  <si>
    <t>WC Symposium - ( 300126 )</t>
  </si>
  <si>
    <t>Web or electronic offerings - ( 304331 )</t>
  </si>
  <si>
    <t>Web site &amp; other multimedia product - ( 301305 )</t>
  </si>
  <si>
    <t>Webcast - ( 301329 )</t>
  </si>
  <si>
    <t>Weiner &amp; Levitt's Neurology - ( 9780781781541 )</t>
  </si>
  <si>
    <t>Wintrobe's Clinical Hematology, 12th Edition (LWW - ( 9780781765077 )</t>
  </si>
  <si>
    <t>Workshops and training development exercises - ( 304332 )</t>
  </si>
  <si>
    <t>WORLD ALLERGY ORGANIZATION JOURNAL ONLINE - ( 19394551 )</t>
  </si>
  <si>
    <t>ALPHAMED PRESS</t>
  </si>
  <si>
    <t>AMERICAN ASSOCIATION FOR CANCER RESEARCH</t>
  </si>
  <si>
    <t>AMERICAN COLLEGE OF ALLERGY ASTHMA AND IMMUNOLOGY</t>
  </si>
  <si>
    <t>AMERICAN COLLEGE OF CHEST PHYSICIANS</t>
  </si>
  <si>
    <t>AMERICAN COLLEGE OF PHYSICIANS</t>
  </si>
  <si>
    <t>AMERICAN HEART ASSOCIATION</t>
  </si>
  <si>
    <t>AMERICAN MEDICAL ASSOCIATION</t>
  </si>
  <si>
    <t>AMERICAN SOCIETY FOR BONE AND MINERAL RESEARCH</t>
  </si>
  <si>
    <t>AMERICAN SOCIETY OF CLINICAL ONCOLOGY</t>
  </si>
  <si>
    <t>AMERICAN SOCIETY OF HEMATOLOGY</t>
  </si>
  <si>
    <t>AMERICAN SOCIETY OF NEPHROLOGY</t>
  </si>
  <si>
    <t>AMERICAN THORACIC SOCIETY</t>
  </si>
  <si>
    <t>ARNOLD PUBLISHERS</t>
  </si>
  <si>
    <t>ASHLEY PUBLICATIONS LTD</t>
  </si>
  <si>
    <t>BAYLOR HEALTH CARE SYSTEM</t>
  </si>
  <si>
    <t>BENTHAM SCIENCE PUBLISHERS</t>
  </si>
  <si>
    <t>BIOSCIENCE EDIPRINT, INC.</t>
  </si>
  <si>
    <t>BRITISH MEDICAL JOURNAL</t>
  </si>
  <si>
    <t>BROOKWOOD MEDICAL PUBLICATIONS</t>
  </si>
  <si>
    <t>CAMBRIDGE UNIVERSITY PRESS</t>
  </si>
  <si>
    <t>DOVE MEDICAL PRESS</t>
  </si>
  <si>
    <t>DUSTRI VERLAG</t>
  </si>
  <si>
    <t>EUROPEAN RESPIRATORY SOCIETY</t>
  </si>
  <si>
    <t>FACTS AND COMPARISONS</t>
  </si>
  <si>
    <t>FUTURE DRUGS</t>
  </si>
  <si>
    <t>GREENWICH MEDICAL MEDIA</t>
  </si>
  <si>
    <t>HARVEY WHITNEY BOOKS</t>
  </si>
  <si>
    <t>HEALTH COMMUNICATIONS INC.</t>
  </si>
  <si>
    <t>HUMANA PRESS</t>
  </si>
  <si>
    <t>IN HOUSE PUBLICATIONS</t>
  </si>
  <si>
    <t xml:space="preserve">INDIAN JOURNAL OF GASTROENTEROLOGY </t>
  </si>
  <si>
    <t>INTERNATIONAL MEDICAL PRESS</t>
  </si>
  <si>
    <t>JONES AND BARTLETT</t>
  </si>
  <si>
    <t>JONES AND BARTLETT PUBLISHERS</t>
  </si>
  <si>
    <t>JOURNAL OF RHEUMATOLOGY</t>
  </si>
  <si>
    <t>KARGER</t>
  </si>
  <si>
    <t>KLUWER ACADEMIC</t>
  </si>
  <si>
    <t>LIBRAPHARM</t>
  </si>
  <si>
    <t>MANEY PUBLISHING</t>
  </si>
  <si>
    <t>MARCEL DEKKER</t>
  </si>
  <si>
    <t>MASSACHUSETTS MEDICAL SOCIETY</t>
  </si>
  <si>
    <t>MBL COMMUNICATIONS</t>
  </si>
  <si>
    <t>MEDICAL WORLD COMMUNICATIONS</t>
  </si>
  <si>
    <t>MEDINEWS (CARDIOLOGY)</t>
  </si>
  <si>
    <t>MEDINEWS (DIABETES)</t>
  </si>
  <si>
    <t>MEDWORKS MEDIA</t>
  </si>
  <si>
    <t>NATURE</t>
  </si>
  <si>
    <t>NEVA PRESS</t>
  </si>
  <si>
    <t xml:space="preserve">OTHER (PLEASE SPECIFY) </t>
  </si>
  <si>
    <t>OXFORD UNIVERSITY PRESS</t>
  </si>
  <si>
    <t>PHARMACOTHERAPY PUBLISHING</t>
  </si>
  <si>
    <t>PHYSICIANS POSTGRADUATE PRESS</t>
  </si>
  <si>
    <t>PULSUS GROUP, INC.</t>
  </si>
  <si>
    <t>QUADRANT HEALTHCOM INC.</t>
  </si>
  <si>
    <t>ROYAL AUSTRALIAN COLLEGE OF GP'S</t>
  </si>
  <si>
    <t>ROYAL PHARMACEUTICAL SOCIETY (PHARMACEUTICAL PRESS)</t>
  </si>
  <si>
    <t>SAGE</t>
  </si>
  <si>
    <t>SAGE PUBLICATIONS LTD.</t>
  </si>
  <si>
    <t xml:space="preserve">SOCIEDAD ESPAÑOLA DE QUIMIOTERAPIA </t>
  </si>
  <si>
    <t>SPRINGER</t>
  </si>
  <si>
    <t>THIEME</t>
  </si>
  <si>
    <t>TOUCH BRIEFINGS</t>
  </si>
  <si>
    <t>UNIVERSITY OF CHICAGO PRESS</t>
  </si>
  <si>
    <t>WALCHLI TAUBER</t>
  </si>
  <si>
    <t>WEBMD</t>
  </si>
  <si>
    <t>ACHÉ</t>
  </si>
  <si>
    <t>ACTELION</t>
  </si>
  <si>
    <t>AMGEN - BERGAMO</t>
  </si>
  <si>
    <t>BAUSCH + LOMB</t>
  </si>
  <si>
    <t>BAXTER</t>
  </si>
  <si>
    <t>BIOGEN</t>
  </si>
  <si>
    <t>CRISTÁLIA</t>
  </si>
  <si>
    <t>DAICHI SANKYO</t>
  </si>
  <si>
    <t xml:space="preserve">EMS </t>
  </si>
  <si>
    <t>FARMALAB-CHIESI</t>
  </si>
  <si>
    <t>FQM + HERBARIUM</t>
  </si>
  <si>
    <t>GLAXOSMITHKLINE</t>
  </si>
  <si>
    <t>HYPERMARCAS</t>
  </si>
  <si>
    <t>LEO PHARMA</t>
  </si>
  <si>
    <t>MERCK - SERONO SP/RJ</t>
  </si>
  <si>
    <t>MERCK AG - SERONO RJ</t>
  </si>
  <si>
    <t>MERZBIOLAB</t>
  </si>
  <si>
    <t>MSD</t>
  </si>
  <si>
    <t>NESTLE</t>
  </si>
  <si>
    <t>NYCOMED</t>
  </si>
  <si>
    <t>SANOFI</t>
  </si>
  <si>
    <t>TORRENT</t>
  </si>
  <si>
    <t>UNIÃO QUÍMICA</t>
  </si>
  <si>
    <t>UNITED MEDICAL</t>
  </si>
  <si>
    <t>ZODIAC</t>
  </si>
  <si>
    <t>LOMBADA CANOA COM 02 GRAMPOS (CAPA + MIOLO)</t>
  </si>
  <si>
    <t>LOMBADA CANOA COM 02 GRAMPOS, CAPA COM LAMINAÇÃO BRILHO FRENTE.</t>
  </si>
  <si>
    <t>OUTRO ACABAMENTO ESPECIFICADO ABAIXO</t>
  </si>
  <si>
    <t>REFILADO NO FORMATO, FACA ESPECIAL, WIRE-O</t>
  </si>
  <si>
    <t>REFILADO NO FORMATO, FACA, DUPLA FACE VERSO</t>
  </si>
  <si>
    <t>ESPANHOL</t>
  </si>
  <si>
    <t>INGLÊS</t>
  </si>
  <si>
    <t>PORTUGUÊS</t>
  </si>
  <si>
    <t>BASE (ATLAS/CALENDÁRIO)</t>
  </si>
  <si>
    <t>BLOCO (CAPA)</t>
  </si>
  <si>
    <t>CAIXA</t>
  </si>
  <si>
    <t>CAPA</t>
  </si>
  <si>
    <t>CAPA + MIOLO</t>
  </si>
  <si>
    <t>COLOR PLUS 120 G</t>
  </si>
  <si>
    <t>FOLDER</t>
  </si>
  <si>
    <t>FOLHETO</t>
  </si>
  <si>
    <t>LÂMINA</t>
  </si>
  <si>
    <t>LIVRO (CAPA)</t>
  </si>
  <si>
    <t>PASTA</t>
  </si>
  <si>
    <t>POSTER</t>
  </si>
  <si>
    <t>COLOR PLUS 180 G</t>
  </si>
  <si>
    <t>COLOR PLUS 240 G</t>
  </si>
  <si>
    <t>COLOR PLUS 80 G</t>
  </si>
  <si>
    <t>COUCHE BRILHO 115 G</t>
  </si>
  <si>
    <t>COUCHE BRILHO 150 G</t>
  </si>
  <si>
    <t>COUCHE BRILHO 170 G</t>
  </si>
  <si>
    <t>COUCHE BRILHO 230 G</t>
  </si>
  <si>
    <t>COUCHE FOSCO 115 G</t>
  </si>
  <si>
    <t>COUCHE FOSCO 130 G</t>
  </si>
  <si>
    <t>COUCHE FOSCO 150 G</t>
  </si>
  <si>
    <t>COUCHE FOSCO 170 G</t>
  </si>
  <si>
    <t>COUCHE FOSCO 230 G</t>
  </si>
  <si>
    <t>COUCHE FOSCO 90 G</t>
  </si>
  <si>
    <t>COUCHE FOSCO 95 G</t>
  </si>
  <si>
    <t>COUCHE TEXTURA 115 G</t>
  </si>
  <si>
    <t>COUCHE TEXTURA 150 G</t>
  </si>
  <si>
    <t>COUCHE TEXTURA 170 G</t>
  </si>
  <si>
    <t>COUCHE TEXTURA 230 G</t>
  </si>
  <si>
    <t>MIOLO</t>
  </si>
  <si>
    <t>NINGBO STAR 300 G</t>
  </si>
  <si>
    <t>NINGBO STAR 350 G</t>
  </si>
  <si>
    <t>OFFSET ALTA ALVURA 110 G</t>
  </si>
  <si>
    <t>OFFSET ALTA ALVURA 120 G</t>
  </si>
  <si>
    <t>OFFSET ALTA ALVURA 56 G</t>
  </si>
  <si>
    <t>OFFSET ALTA ALVURA 63 G</t>
  </si>
  <si>
    <t>OFFSET ALTA ALVURA 70 G</t>
  </si>
  <si>
    <t>OFFSET ALTA ALVURA 75 G</t>
  </si>
  <si>
    <t>OFFSET ALTA ALVURA 90 G</t>
  </si>
  <si>
    <t>SUPREMO DUO DESIGN 250 G</t>
  </si>
  <si>
    <t>SUPREMO DUO DESIGN 300 G</t>
  </si>
  <si>
    <t>SUPREMO DUO DESIGN 350 G</t>
  </si>
  <si>
    <t>TRIPLEX 250 G</t>
  </si>
  <si>
    <t>TRIPLEX 275 G</t>
  </si>
  <si>
    <t>TRIPLEX 300 G</t>
  </si>
  <si>
    <t>TRIPLEX 325 G</t>
  </si>
  <si>
    <t>TRIPLEX 350 G</t>
  </si>
  <si>
    <t>TRIPLEX 375 G</t>
  </si>
  <si>
    <t>VERGÊ PLUS 120 G</t>
  </si>
  <si>
    <t>VERGÊ PLUS 180 G</t>
  </si>
  <si>
    <t>VERGÊ PLUS 85 G</t>
  </si>
  <si>
    <t>0 X 0</t>
  </si>
  <si>
    <t>1 X 1</t>
  </si>
  <si>
    <t>2 X 2</t>
  </si>
  <si>
    <t>2 X 4</t>
  </si>
  <si>
    <t>4 X 0</t>
  </si>
  <si>
    <t>4 X 1</t>
  </si>
  <si>
    <t>4 X 4</t>
  </si>
  <si>
    <t>COR ESPECIAL</t>
  </si>
  <si>
    <t>OUTRO FORMATO EM OBSERVAÇÕES</t>
  </si>
  <si>
    <t>STATUS:</t>
  </si>
  <si>
    <t>SOLICITAÇÃO DE ORÇAMENTO</t>
  </si>
  <si>
    <t>CLIENTE:</t>
  </si>
  <si>
    <t>VENDA</t>
  </si>
  <si>
    <t>%</t>
  </si>
  <si>
    <t>PAPEL</t>
  </si>
  <si>
    <t>TRADUÇÃO:</t>
  </si>
  <si>
    <t>REVISÃO ORTOGRÁFICA:</t>
  </si>
  <si>
    <t>REVISÃO MÉDICA:</t>
  </si>
  <si>
    <t>CRIAÇÃO:</t>
  </si>
  <si>
    <t>OUTROS:</t>
  </si>
  <si>
    <t>IMPOSTOS:</t>
  </si>
  <si>
    <t>PREÇO FINAL</t>
  </si>
  <si>
    <t>TIPO</t>
  </si>
  <si>
    <t>VENDAS</t>
  </si>
  <si>
    <t>GERENTE DE CONTAS:</t>
  </si>
  <si>
    <t>RESPONSÁVEL:</t>
  </si>
  <si>
    <t>TITULO DO PROJETO:</t>
  </si>
  <si>
    <t>PUBLISHER:</t>
  </si>
  <si>
    <t>JOURNAL:</t>
  </si>
  <si>
    <t>DESCRIÇÃO DO PROJETO</t>
  </si>
  <si>
    <t>LINHA DE PRODUTO</t>
  </si>
  <si>
    <t>VENDA:</t>
  </si>
  <si>
    <t>PUBLISHER</t>
  </si>
  <si>
    <t>IDIOMA:</t>
  </si>
  <si>
    <t>JOURNAL</t>
  </si>
  <si>
    <t>TIRAGEM:</t>
  </si>
  <si>
    <t>ESPECIFICAÇÃO:</t>
  </si>
  <si>
    <t>MOEDA:</t>
  </si>
  <si>
    <t>(%) - ROYALTY:</t>
  </si>
  <si>
    <t>(Especie) - ROYALTY:</t>
  </si>
  <si>
    <t>RE-IMPRESSÃO:</t>
  </si>
  <si>
    <t>IMPRESSÃO</t>
  </si>
  <si>
    <t>MOEDA</t>
  </si>
  <si>
    <t>FORMATO:</t>
  </si>
  <si>
    <t>ACABAMENTO</t>
  </si>
  <si>
    <t>PRODUÇAO</t>
  </si>
  <si>
    <t>ROYALTY:</t>
  </si>
  <si>
    <t>INDEXAÇÃO:</t>
  </si>
  <si>
    <t>ILUSTRAÇÃO:</t>
  </si>
  <si>
    <t>CODIGO ULTIMA CAPA</t>
  </si>
  <si>
    <t>PRODUÇÃO GRÁFICA:</t>
  </si>
  <si>
    <t>PROD. MIDIA ELETR.:</t>
  </si>
  <si>
    <t>CORREIOS:</t>
  </si>
  <si>
    <t>IMPORT./DESEMB.:</t>
  </si>
  <si>
    <t>SEGUROS:</t>
  </si>
  <si>
    <t>EXTRAS:</t>
  </si>
  <si>
    <t>EDITOR FEE:</t>
  </si>
  <si>
    <t>DESP. DE VIAGEM:</t>
  </si>
  <si>
    <t>LINHA</t>
  </si>
  <si>
    <t>MAX</t>
  </si>
  <si>
    <t>MIN</t>
  </si>
  <si>
    <t>ADIS</t>
  </si>
  <si>
    <t>ALCON</t>
  </si>
  <si>
    <t>ALEXION</t>
  </si>
  <si>
    <t>ALLERGAN</t>
  </si>
  <si>
    <t>APSEN</t>
  </si>
  <si>
    <t>ASTELLAS</t>
  </si>
  <si>
    <t>BAGO</t>
  </si>
  <si>
    <t>BALDACCI</t>
  </si>
  <si>
    <t>INDICE</t>
  </si>
  <si>
    <t>BIOLAB</t>
  </si>
  <si>
    <t>BRISTOL MYERS SQUIBB</t>
  </si>
  <si>
    <t>CELLOFARMA</t>
  </si>
  <si>
    <t>DESCONTOS</t>
  </si>
  <si>
    <t>VALOR DESCONTO (%)</t>
  </si>
  <si>
    <t>MOTIVO</t>
  </si>
  <si>
    <t>EUROFARMA</t>
  </si>
  <si>
    <t>FORMATO</t>
  </si>
  <si>
    <t>14 X 21</t>
  </si>
  <si>
    <t>FERRING</t>
  </si>
  <si>
    <t>17,5 X 25</t>
  </si>
  <si>
    <t>GALDERMA</t>
  </si>
  <si>
    <t>21 X 28</t>
  </si>
  <si>
    <t>GENZYME</t>
  </si>
  <si>
    <t>GLENMARK</t>
  </si>
  <si>
    <t>JRAAS</t>
  </si>
  <si>
    <t>HOSPIRA</t>
  </si>
  <si>
    <t>LIPPINCOTT, WILLIAMS &amp; WILKINS</t>
  </si>
  <si>
    <t>LIBBS</t>
  </si>
  <si>
    <t>LUNDBECK</t>
  </si>
  <si>
    <t>MEDLEY</t>
  </si>
  <si>
    <t>NEOQUIMICA</t>
  </si>
  <si>
    <t>NCCN</t>
  </si>
  <si>
    <t>PFIZER</t>
  </si>
  <si>
    <t>PIERRE-FABRE</t>
  </si>
  <si>
    <t>ROCHE</t>
  </si>
  <si>
    <t>PTP</t>
  </si>
  <si>
    <t>SERVIER</t>
  </si>
  <si>
    <t>SHIRE</t>
  </si>
  <si>
    <t>STIEFEL</t>
  </si>
  <si>
    <t>SUPPORT</t>
  </si>
  <si>
    <t>TEVA</t>
  </si>
  <si>
    <t>WILEY</t>
  </si>
  <si>
    <t>VALEANT</t>
  </si>
  <si>
    <t>ZAMBOM</t>
  </si>
  <si>
    <t>CLIENTES</t>
  </si>
  <si>
    <t>IDIOMAS</t>
  </si>
  <si>
    <t>A Clinical Guide for Contraception, 5th Edition (L - ( 9781608316106 )</t>
  </si>
  <si>
    <t>A Practical Approach to Catheter Ablation of Atria - ( 9780781775595 )</t>
  </si>
  <si>
    <t>AACN ADVANCED CRITICAL CARE - ( 15597768 )</t>
  </si>
  <si>
    <t>ACADEMIC MEDICINE - ( 10402446 )</t>
  </si>
  <si>
    <t>ACADEMIC PHYSICIAN-SCIENTIST - ( 10931139 )</t>
  </si>
  <si>
    <t>ACC General - ( 399876 )</t>
  </si>
  <si>
    <t>ACC Understanding Alzheimers Disease - ( 9781587793035 )</t>
  </si>
  <si>
    <t>ACSMS HEALTH &amp; FITNESS JOURNAL - ( 10915397 )</t>
  </si>
  <si>
    <t>Ad Board / Expert meeting - ( 301326 )</t>
  </si>
  <si>
    <t>ADDICTIVE DISORDERS &amp; THEIR TREATMENT - ( 15315754 )</t>
  </si>
  <si>
    <t>Adis BI-BD&amp;LI - ( 300206 )</t>
  </si>
  <si>
    <t>Adis BI-CBI Custom - ( 300205 )</t>
  </si>
  <si>
    <t>Adis BI-CTI - ( 300204 )</t>
  </si>
  <si>
    <t>Adis BI-PNF Pharma Newsfeed - ( 300208 )</t>
  </si>
  <si>
    <t>Adis BI-RDI - ( 300201 )</t>
  </si>
  <si>
    <t>Adis BI-RDIC (RDI for Chemists) - ( 300202 )</t>
  </si>
  <si>
    <t>Adis BI-RPS - ( 300207 )</t>
  </si>
  <si>
    <t>Adis BI-VTK - ( 300203 )</t>
  </si>
  <si>
    <t>ADVANCED EMERGENCY NURSING JOURNAL - ( 19314485 )</t>
  </si>
  <si>
    <t>ADVANCES IN ANATOMIC PATHOLOGY - ( 10724109 )</t>
  </si>
  <si>
    <t>ADVANCES IN NEONATAL CARE - ( 15360903 )</t>
  </si>
  <si>
    <t>ADVANCES IN NURSING SCIENCE - ( 01619268 )</t>
  </si>
  <si>
    <t>ADVANCES IN SKIN &amp; WOUND CARE - ( 15277941 )</t>
  </si>
  <si>
    <t>ADVERSE DRUG REACTION BULLETIN - ( 00446394 )</t>
  </si>
  <si>
    <t>Adverse Drug Reactions &amp; Toxicological Reviews - ( 0964198X )</t>
  </si>
  <si>
    <t>Adverse Drug Reactions and Acute Poisoning Reviews - ( 0260647X )</t>
  </si>
  <si>
    <t>AHA Clinical Cardiac Consult, 3rd Edition (LWW Boo - ( 9781608316229 )</t>
  </si>
  <si>
    <t>AIDS: OFFICIAL JOURNAL OF THE INTERNATIONAL AIDS S - ( 02699370 )</t>
  </si>
  <si>
    <t>AJN THE AMERICAN JOURNAL OF NURSING - ( 0002936X )</t>
  </si>
  <si>
    <t>Alteraciones del metabolismo óseo y mineral en la - ( 9788496921818 )</t>
  </si>
  <si>
    <t>ALZHEIMER DISEASE &amp; ASSOCIATED DISORDERS - ( 08930341 )</t>
  </si>
  <si>
    <t>Alzheimer Disease &amp; other Dementias - ( 9780781767705 )</t>
  </si>
  <si>
    <t>ALZHEIMER'S CARE TODAY - ( 19363001 )</t>
  </si>
  <si>
    <t>American Association for Medical Tr - ( 07452624 )</t>
  </si>
  <si>
    <t>American Journal of Cancer - ( 11756357 )</t>
  </si>
  <si>
    <t>AMERICAN JOURNAL OF CARDIOVASCULAR DRUGS - ( 11753277 )</t>
  </si>
  <si>
    <t>American Journal of Cardiovascular Drugs Online - ( 4769054 )</t>
  </si>
  <si>
    <t>AMERICAN JOURNAL OF CLINICAL DERMATOLOGY - ( 11750561 )</t>
  </si>
  <si>
    <t>AMERICAN JOURNAL OF DERMATOPATHOLOGY - ( 01931091 )</t>
  </si>
  <si>
    <t>American Journal of Drug Delivery - ( 11759038 )</t>
  </si>
  <si>
    <t>AMERICAN JOURNAL OF FORENSIC MEDICINE &amp; PATHOLOGY - ( 01957910 )</t>
  </si>
  <si>
    <t>AMERICAN JOURNAL OF GERIATRIC PSYCHIATRY - ( 10647481 )</t>
  </si>
  <si>
    <t>AMERICAN JOURNAL OF GERIATRIC PSYCHIATRY ONLINE - ( 15457214 )</t>
  </si>
  <si>
    <t>American Journal of PharmacoGenomics - ( 11752203 )</t>
  </si>
  <si>
    <t>AMERICAN JOURNAL OF PHYSICAL MEDICINE &amp; REHAB - ( 08949115 )</t>
  </si>
  <si>
    <t>American Journal of Respiratory Medicine - ( 11756365 )</t>
  </si>
  <si>
    <t>AMERICAN JOURNAL OF THERAPEUTICS - ( 10752765 )</t>
  </si>
  <si>
    <t>American Jrn of the Medical - ( 10628606 )</t>
  </si>
  <si>
    <t>AMERICAN JRNL OF CLIN ONCOLOGY, CANCER CLIN TRIALS - ( 02773732 )</t>
  </si>
  <si>
    <t>Anatomía con orientación clínica - ( 9788496921474 )</t>
  </si>
  <si>
    <t>ANATOMIA Y PATOLOGIA ILUSTRADAS - ( 9788496921115 )</t>
  </si>
  <si>
    <t>Anestesia de bolsillo - ( 9788496921740 )</t>
  </si>
  <si>
    <t>ANESTHESIA &amp; ANALGESIA - ( 00032999 )</t>
  </si>
  <si>
    <t>ANESTHESIOLOGY - ( 00033022 )</t>
  </si>
  <si>
    <t>ANESTHESIOLOGY ONLINE - ( 15281175 )</t>
  </si>
  <si>
    <t>Annals of Pediatric Surgery - ( 20905394 )</t>
  </si>
  <si>
    <t>ANNALS OF PLASTIC SURGERY - ( 01487043 )</t>
  </si>
  <si>
    <t>ANNALS OF SURGERY - ( 00034932 )</t>
  </si>
  <si>
    <t>Annals of Surgical Oncology - ( 10689265 )</t>
  </si>
  <si>
    <t>ANNALS OF THORACIC SURGERY - ( 00034975 )</t>
  </si>
  <si>
    <t>Ansel's Pharmaceutical Dosage Forms and Drug Deliv - ( 9780781779340 )</t>
  </si>
  <si>
    <t>Antibiotic Basics for Clinicians the Right Antibac - ( 9780781794640 )</t>
  </si>
  <si>
    <t>ANTI-CANCER DRUGS - ( 09594973 )</t>
  </si>
  <si>
    <t>ANTI-EPILEPTIC DRUGS - ( 300118 )</t>
  </si>
  <si>
    <t>ANTI-INFECTIVES TODAY - ( 11745924 )</t>
  </si>
  <si>
    <t>Applied Bioinformatics - ( 11755636 )</t>
  </si>
  <si>
    <t>Applied Health Economics and Health Poli - ( 11755652 )</t>
  </si>
  <si>
    <t>APPLIED IMMUNOHISTOCHEMISTRY &amp; MOLECULAR - ( 10623345 )</t>
  </si>
  <si>
    <t>ARTERIOSCLEROSIS THROMBOSIS &amp; VASCULAR BIOLOGY - ( 10795642 )</t>
  </si>
  <si>
    <t>ARTERIOSCLEROSIS THROMBOSIS &amp; VASCULAR BIOLOGY - ( 15244636 )</t>
  </si>
  <si>
    <t>ASAIO JOURNAL - ( 10582916 )</t>
  </si>
  <si>
    <t>ASAIO JOURNAL ONLINE - ( 1538943X )</t>
  </si>
  <si>
    <t>Atlas De Anatomia - ( 9788496921214 )</t>
  </si>
  <si>
    <t>Atlas de histología - ( 9788496921870 )</t>
  </si>
  <si>
    <t>NPAGINAS</t>
  </si>
  <si>
    <t>IMPRESSAO</t>
  </si>
  <si>
    <t>Atlas De Technicas Osteopaticas - ( 9788496921245 )</t>
  </si>
  <si>
    <t>Auditory Evoked Potentials: Basic Principles and C - ( 9780781757560 )</t>
  </si>
  <si>
    <t>Avoiding Common ICU Errors (LWW Book) - ( 9780781767392 )</t>
  </si>
  <si>
    <t>Avoiding Common Obstetrics &amp; Gynecology Errors - ( 9780781791434 )</t>
  </si>
  <si>
    <t>Avoiding Common Pediatric Errors (LWW Book) - ( 9780781774895 )</t>
  </si>
  <si>
    <t>BACK LETTER - ( 08947376 )</t>
  </si>
  <si>
    <t>Barash handbook of Clinical Anesthesia - ( 9780781757935 )</t>
  </si>
  <si>
    <t>Barr, el sistema nervioso humano - ( 9788496921405 )</t>
  </si>
  <si>
    <t>Barr's The Human Nervous System: An Anatomical Vie - ( 9780781782562 )</t>
  </si>
  <si>
    <t>Basic and Bedside Electrocardiography (LWW Book) - ( 9780781788045 )</t>
  </si>
  <si>
    <t>Bates' Guide to Physical Examination &amp; History - ( 9788493531874 )</t>
  </si>
  <si>
    <t>Bates Pocket Guide to Physical Examination and His - ( 9780781780667 )</t>
  </si>
  <si>
    <t>BEHAVIORAL PHARMACOLOGY - ( 09558810 )</t>
  </si>
  <si>
    <t>Benign Prostatic Hyperplasia: The place of Alfuzos - ( 9781898970484 )</t>
  </si>
  <si>
    <t>Bennett and Brachman's Hospital Infections - ( 9780781763837 )</t>
  </si>
  <si>
    <t>Bethesda Handbook of Clinical Oncology, 3rd Editio - ( 9780781795586 )</t>
  </si>
  <si>
    <t>Bethesda Handbook on Clinical Hematology - ( 9780781775830 )</t>
  </si>
  <si>
    <t>BIODRUGS - ( 11738804 )</t>
  </si>
  <si>
    <t>BIOMEDICAL SAFETY STANDARDS - ( 10809775 )</t>
  </si>
  <si>
    <t>Bioquímica - ( 9788496921832 )</t>
  </si>
  <si>
    <t>Bioquimica (LIR) - ( 9788496921122 )</t>
  </si>
  <si>
    <t>Bipolar Disorder - ( 9780781768481 )</t>
  </si>
  <si>
    <t>BIPOLAR DISORDER - A CLINICAL GUIDE - ( 0781768489 )</t>
  </si>
  <si>
    <t>BLOOD COAGULATION &amp; FIBRINOLYSIS - ( 09575235 )</t>
  </si>
  <si>
    <t>BLOOD PRESSURE MONITORING - ( 13595237 )</t>
  </si>
  <si>
    <t>Bonica's Management of Pain - ( 9780781788977 )</t>
  </si>
  <si>
    <t>Bonica's Management of Pain, 4th Edition (LWW Book - ( 9780781768276 )</t>
  </si>
  <si>
    <t>BOOKS EXPENSE - ( 300099 )</t>
  </si>
  <si>
    <t>BRIGGS UPDATE: DRUGS IN PREGNANCY &amp; LACTATION - ( 08976112 )</t>
  </si>
  <si>
    <t>BRITISH JOURNAL OF NUTRITION ONLINE - ( 14752662 )</t>
  </si>
  <si>
    <t>BRS Anatomy - ( 9788493558307 )</t>
  </si>
  <si>
    <t>BRS Biologia e Histologia Celular - ( 9788493558338 )</t>
  </si>
  <si>
    <t>BRS Bioquimica y Biologia Molecular - ( 9788493558314 )</t>
  </si>
  <si>
    <t>BRS Pharmacology - ( 9788493558321 )</t>
  </si>
  <si>
    <t>BRS Physiology - ( 9788493558345 )</t>
  </si>
  <si>
    <t>BSHOP Cholinesterase Inhibitor - ( 300098 )</t>
  </si>
  <si>
    <t>Business development proposal/pitch - ( 301308 )</t>
  </si>
  <si>
    <t>CA - A CANCER JOURNAL FOR CLINICIANS - ( 00079235 )</t>
  </si>
  <si>
    <t>CANCEL - ( CANCEL )</t>
  </si>
  <si>
    <t>Cancer Chemotherapy and Biotherapy: Principles and - ( 9781605474311 )</t>
  </si>
  <si>
    <t>CANCER NURSING - ( 0162220X )</t>
  </si>
  <si>
    <t>Cancer Pain: Assessment, Diagnosis, and Management - ( 9781608310890 )</t>
  </si>
  <si>
    <t>Cancer Principles &amp; Practice of Oncology - ( 9780781772075 )</t>
  </si>
  <si>
    <t>CANCER TODAY - ( 11745916 )</t>
  </si>
  <si>
    <t>Cancer: Principles and Practice of Oncology: Annua - ( 9781451103144 )</t>
  </si>
  <si>
    <t>CARDIOLOGY IN REVIEW - ( 10615377 )</t>
  </si>
  <si>
    <t>CI ONC Inet (Adis) Prim New - ( 300139 )</t>
  </si>
  <si>
    <t>CIN: COMPUTERS, INFORMATICS, NURSING - ( 15382931 )</t>
  </si>
  <si>
    <t>CIRCULATION - ( 00097322 )</t>
  </si>
  <si>
    <t>CIRCULATION ARRHYTHMIA &amp; ELECTROPHYSIOLOGY - ( 19413149 )</t>
  </si>
  <si>
    <t>CIRCULATION ARRHYTHMIA &amp; ELECTROPHYSIOLOGY ONLINE - ( 19413084 )</t>
  </si>
  <si>
    <t>CIRCULATION CARDIOVASCULAR GENETICS - ( 1942325X )</t>
  </si>
  <si>
    <t>CIRCULATION CARDIOVASCULAR GENETICS ONLINE - ( 19423268 )</t>
  </si>
  <si>
    <t>CIRCULATION CARDIOVASCULAR IMAGING - ( 19419651 )</t>
  </si>
  <si>
    <t>CIRCULATION CARDIOVASCULAR IMAGING ONLINE - ( 19420080 )</t>
  </si>
  <si>
    <t>CIRCULATION CARDIOVASCULAR INTERVENTIONS - ( 19417640 )</t>
  </si>
  <si>
    <t>CIRCULATION CARDIOVASCULAR INTERVENTIONS ONLINE - ( 19417632 )</t>
  </si>
  <si>
    <t>CIRCULATION CARDIOVASCULAR QUALITY &amp; OUT ONLINE - ( 19417713 )</t>
  </si>
  <si>
    <t>CIRCULATION CARDIOVASCULAR QUALITY &amp; OUTCOMES - ( 19417705 )</t>
  </si>
  <si>
    <t>CIRCULATION HEART FAILURE - ( 19413289 )</t>
  </si>
  <si>
    <t>CIRCULATION HEART FAILURE ONLINE - ( 19413297 )</t>
  </si>
  <si>
    <t>CIRCULATION ONLINE - ( 15244539 )</t>
  </si>
  <si>
    <t>CIRCULATION RESEARCH - ( 00097330 )</t>
  </si>
  <si>
    <t>CIRCULATION RESEARCH ONLINE - ( 15244571 )</t>
  </si>
  <si>
    <t>Clinical Anesthesia, 6th Edition (LWW Book) - ( 9780781787635 )</t>
  </si>
  <si>
    <t>Clinical Cardiac Electro Physiology Techniques and - ( 9780781777391 )</t>
  </si>
  <si>
    <t>CLINICAL DRUG INVESTIGATION - ( 11732563 )</t>
  </si>
  <si>
    <t>Clinical Drug Investigation Online - ( 10474525 )</t>
  </si>
  <si>
    <t>CLINICAL DYSMORPHOLOGY - ( 09628827 )</t>
  </si>
  <si>
    <t>Clinical Epidemiology: The Essentials - ( 9788496921009 )</t>
  </si>
  <si>
    <t>Clinical Gynecologic Endocrinology and Infertility - ( 9780781747950 )</t>
  </si>
  <si>
    <t>Clinical Gynecologic Endocrinology and Infertility - ( 9780781779685 )</t>
  </si>
  <si>
    <t>Clinical Gynecologic Endocrniology &amp; Infertilly - ( 9788493531812 )</t>
  </si>
  <si>
    <t>Clinical Hypertansion - ( 9788493531829 )</t>
  </si>
  <si>
    <t>CLINICAL JOURNAL OF SPORTS MEDICINE - ( 1050642X )</t>
  </si>
  <si>
    <t>Clinical Neurology of the Older Adult (LWW Book) - ( 9780781769471 )</t>
  </si>
  <si>
    <t>CLINICAL NEUROPHARMACOLOGY - ( 03625664 )</t>
  </si>
  <si>
    <t>Clinical Neurosurgery - ( 9780781766364 )</t>
  </si>
  <si>
    <t>CLINICAL NUCLEAR MEDICINE - ( 03639762 )</t>
  </si>
  <si>
    <t>CLINICAL NURSE SPECIALIST: JOURNAL FOR ADVANCED - ( 08876274 )</t>
  </si>
  <si>
    <t>CLINICAL OBSTETRICS &amp; GYNECOLOGY - ( 00099201 )</t>
  </si>
  <si>
    <t>CLINICAL ORTHOPAEDICS &amp; RELATED RESEARCH - ( 0009921X )</t>
  </si>
  <si>
    <t>CLINICAL PHARMACOKINETICS - ( 03125963 )</t>
  </si>
  <si>
    <t>Clinical PharmacoKinetics Drug Data Handbook - ( 01140892 )</t>
  </si>
  <si>
    <t>Clinical PharmacoKinetics Online - ( 4764563 )</t>
  </si>
  <si>
    <t>CLINICAL PULMONARY MEDICINE - ( 10680640 )</t>
  </si>
  <si>
    <t>Clinical trial report/client internal/competitor report - ( 301313 )</t>
  </si>
  <si>
    <t>CME EXPENSE - ( 300097 )</t>
  </si>
  <si>
    <t>CNS DISORDERS TODAY - ( 11745908 )</t>
  </si>
  <si>
    <t>CNS DRUGS - ( 11727047 )</t>
  </si>
  <si>
    <t>CNS Drugs Online - ( 4764821 )</t>
  </si>
  <si>
    <t>Cochlear Implants: Principles &amp; Practice 2nd Editi - ( 9780781777490 )</t>
  </si>
  <si>
    <t>COGNITIVE AND BEHAVIORAL NEUROLOGY - ( 15433633 )</t>
  </si>
  <si>
    <t>Collection of papers/clinical summaries/clinical cases - ( 301302 )</t>
  </si>
  <si>
    <t>Congress abstracts/poster/oral - ( 301319 )</t>
  </si>
  <si>
    <t>Congress post-meeting Highlights/newsletter - ( 301325 )</t>
  </si>
  <si>
    <t>CONGRESS QUARTERLY - ( 19351526 )</t>
  </si>
  <si>
    <t>Consulta Clinica en 5 Minutos - Domino - ( 9788496921290 )</t>
  </si>
  <si>
    <t>CONTEMPORARY CRITICAL CARE - ( 15439003 )</t>
  </si>
  <si>
    <t>CONTEMPORARY DIAGNOSTIC RADIOLOGY - ( 01499009 )</t>
  </si>
  <si>
    <t>CONTEMPORARY NEUROSURGERY - ( 01632108 )</t>
  </si>
  <si>
    <t>Contemporary Oncology - ( 15385183 )</t>
  </si>
  <si>
    <t>CONTEMPORARY OPHTHALMOLOGY - ( 15375846 )</t>
  </si>
  <si>
    <t>CONTEMPORARY OPTOMETRY - ( 15415783 )</t>
  </si>
  <si>
    <t>CONTEMPORARY SPINE SURGERY - ( 15274268 )</t>
  </si>
  <si>
    <t>CONTINUUM - ( 10802371 )</t>
  </si>
  <si>
    <t>CONTINUUM LIFELONG LEARNING IN NEUROLOGY ONLINE - ( 15386899 )</t>
  </si>
  <si>
    <t>CORNEA - ( 02773740 )</t>
  </si>
  <si>
    <t>CORONARY ARTERY DISEASE - ( 09546928 )</t>
  </si>
  <si>
    <t>CRITICAL CARE MEDICINE - ( 00903493 )</t>
  </si>
  <si>
    <t>CRITICAL CARE NURSING QUARTERLY - ( 08879303 )</t>
  </si>
  <si>
    <t>CRITICAL PATHWAYS IN CARDIOLOGY - ( 1535282X )</t>
  </si>
  <si>
    <t>CURRENT OPINION IN ALLERGY &amp; CLINICAL IMMUNOLOGY - ( 14736322 )</t>
  </si>
  <si>
    <t>CURRENT OPINION IN ALLERGY &amp; CLINICAL IMMUNOLOGY - ( 15284050 )</t>
  </si>
  <si>
    <t>CURRENT OPINION IN ANESTHESIOLOGY - ( 09527907 )</t>
  </si>
  <si>
    <t>CURRENT OPINION IN ANESTHESIOLOGY ONLINE - ( 14736500 )</t>
  </si>
  <si>
    <t>CURRENT OPINION IN CARDIOLOGY - ( 02684705 )</t>
  </si>
  <si>
    <t>CURRENT OPINION IN CARDIOLOGY ONLINE - ( 15317080 )</t>
  </si>
  <si>
    <t>CURRENT OPINION IN CLINICAL NUTRITION &amp; METABOLIC - ( 13631950 )</t>
  </si>
  <si>
    <t>CURRENT OPINION IN CLINICAL NUTRITION &amp; METABOLIC - ( 14736519 )</t>
  </si>
  <si>
    <t>CURRENT OPINION IN CRITICAL CARE - ( 10705295 )</t>
  </si>
  <si>
    <t>CURRENT OPINION IN CRITICAL CARE ONLINE - ( 15317072 )</t>
  </si>
  <si>
    <t>CURRENT OPINION IN ENDOCRINOLOGY DIABETES &amp; - ( 1752296X )</t>
  </si>
  <si>
    <t>CURRENT OPINION IN ENDOCRINOLOGY DIABETES &amp; - ( 17522978 )</t>
  </si>
  <si>
    <t>CURRENT OPINION IN GASTROENTEROLOGY - ( 02671379 )</t>
  </si>
  <si>
    <t>CURRENT OPINION IN GASTROENTEROLOGY ONLINE - ( 15317056 )</t>
  </si>
  <si>
    <t>CURRENT OPINION IN HEMATOLOGY - ( 10656251 )</t>
  </si>
  <si>
    <t>CURRENT OPINION IN HEMATOLOGY ONLINE - ( 15317048 )</t>
  </si>
  <si>
    <t>Current Opinion in Hepatology - ( 2035374X )</t>
  </si>
  <si>
    <t>CURRENT OPINION IN HIV AND AIDS - ( 1746630X )</t>
  </si>
  <si>
    <t>CURRENT OPINION IN INFECTIOUS DISEASES - ( 09517375 )</t>
  </si>
  <si>
    <t>CURRENT OPINION IN INFECTIOUS DISEASES ONLINE - ( 14736527 )</t>
  </si>
  <si>
    <t>CURRENT OPINION IN INTERNAL MEDICINE - ( 15355942 )</t>
  </si>
  <si>
    <t>CURRENT OPINION IN LIPIDOLOGY - ( 09579672 )</t>
  </si>
  <si>
    <t>CURRENT OPINION IN LIPIDOLOGY ONLINE - ( 14736535 )</t>
  </si>
  <si>
    <t>CURRENT OPINION IN NEPHROLOGY &amp; HYPERTENSION - ( 10624821 )</t>
  </si>
  <si>
    <t>CURRENT OPINION IN NEPHROLOGY &amp; HYPERTENSION - ( 14736543 )</t>
  </si>
  <si>
    <t>CURRENT OPINION IN NEUROLOGY - ( 13507540 )</t>
  </si>
  <si>
    <t>CURRENT OPINION IN NEUROLOGY ONLINE - ( 14736551 )</t>
  </si>
  <si>
    <t>CURRENT OPINION IN OBSTETRICS &amp; GYNECOLOGY - ( 1040872X )</t>
  </si>
  <si>
    <t>CURRENT OPINION IN OBSTETRICS &amp; GYNECOLOGY ONLINE - ( 1473656X )</t>
  </si>
  <si>
    <t>CURRENT OPINION IN ONCOLOGY - ( 10408746 )</t>
  </si>
  <si>
    <t>CURRENT OPINION IN ONCOLOGY ONLINE - ( 1531703X )</t>
  </si>
  <si>
    <t>CURRENT OPINION IN OPHTHALMOLOGY - ( 10408738 )</t>
  </si>
  <si>
    <t>CURRENT OPINION IN OPHTHALMOLOGY ONLINE - ( 15317021 )</t>
  </si>
  <si>
    <t>CURRENT OPINION IN ORGAN TRANSPLANTATION - ( 10872418 )</t>
  </si>
  <si>
    <t>CURRENT OPINION IN ORGAN TRANSPLANTATION ONLINE - ( 15317013 )</t>
  </si>
  <si>
    <t>Current Opinion in Orthopaedics - ( 10419918 )</t>
  </si>
  <si>
    <t>CURRENT OPINION IN OTOLARYNGOLOGY - ( 10689508 )</t>
  </si>
  <si>
    <t>CURRENT OPINION IN OTOLARYNGOLOGY ONLINE - ( 15316998 )</t>
  </si>
  <si>
    <t>CURRENT OPINION IN PEDIATRICS - ( 10408703 )</t>
  </si>
  <si>
    <t>CURRENT OPINION IN PEDIATRICS ONLINE - ( 1531698X )</t>
  </si>
  <si>
    <t>CURRENT OPINION IN PSYCHIATRY - ( 09517367 )</t>
  </si>
  <si>
    <t>CURRENT OPINION IN PSYCHIATRY ONLINE - ( 14736578 )</t>
  </si>
  <si>
    <t>CURRENT OPINION IN PULMONARY MEDICINE - ( 10705287 )</t>
  </si>
  <si>
    <t>CURRENT OPINION IN PULMONARY MEDICINE ONLINE - ( 15316971 )</t>
  </si>
  <si>
    <t>CURRENT OPINION IN RHEUMATOLOGY - ( 10408711 )</t>
  </si>
  <si>
    <t>CURRENT OPINION IN RHEUMATOLOGY ONLINE - ( 15316963 )</t>
  </si>
  <si>
    <t>CURRENT OPINION IN SUPPORTIVE &amp; PALLIATIVE CARE - ( 17514258 )</t>
  </si>
  <si>
    <t>CURRENT OPINION IN SUPPORTIVE &amp; PALLIATIVE CARE - ( 17514266 )</t>
  </si>
  <si>
    <t>CURRENT OPINION IN UROLOGY - ( 09630643 )</t>
  </si>
  <si>
    <t>CURRENT OPINION IN UROLOGY ONLINE - ( 14736586 )</t>
  </si>
  <si>
    <t>Current Opinion Vascular Risk Management - ( 19614861 )</t>
  </si>
  <si>
    <t>Current Opinion/Endocrinology &amp; Diabetes - ( 10683097 )</t>
  </si>
  <si>
    <t>CURRENT ORTHOPAEDIC PRACTICE - ( 19407041 )</t>
  </si>
  <si>
    <t>CURRENT ORTHOPAEDIC PRACTICE ONLINE - ( 19417551 )</t>
  </si>
  <si>
    <t>CURRENT SPORTS MEDICINE REPORTS - ( 1537890X )</t>
  </si>
  <si>
    <t>CURRENT SPORTS MEDICINE REPORTS ONLINE - ( 15334295 )</t>
  </si>
  <si>
    <t>Current Therapeutics General - ( 300107 )</t>
  </si>
  <si>
    <t>Custom Books - ( 399875 )</t>
  </si>
  <si>
    <t>CV SURGERY ONLINE - ( 15312615 )</t>
  </si>
  <si>
    <t>Dermatology - ( 300120 )</t>
  </si>
  <si>
    <t>Dermatology - ( 300123 )</t>
  </si>
  <si>
    <t>Designing Clinical Research - ( 9788493558383 )</t>
  </si>
  <si>
    <t>DeVita, Hellman and Rosenberg's Cancer: Principles - ( 9781605470580 )</t>
  </si>
  <si>
    <t>DIABETES &amp; THE METABOLIC SYNDROME IN MENTAL HEALTH - ( 9780781782708 )</t>
  </si>
  <si>
    <t>Diabetes and Cardiovascular Disease Integrating Sc - ( 9780781740531 )</t>
  </si>
  <si>
    <t>Diabetes Mellitus guía para el manejo del paciente - ( 9788493558352 )</t>
  </si>
  <si>
    <t>Diagnostic Imaging of Coronary Artery Disease - ( 9780781766029 )</t>
  </si>
  <si>
    <t>DIAGNOSTIC MOLECULAR PATHOLOGY - ( 10529551 )</t>
  </si>
  <si>
    <t>Dialisis - ( 9788496921023 )</t>
  </si>
  <si>
    <t>DIMENSIONS IN CRITICAL CARE NURSING - ( 07304625 )</t>
  </si>
  <si>
    <t>DISASTER MEDICINE &amp; PUBLIC HEALTH PREPAREDNESS - ( 19357893 )</t>
  </si>
  <si>
    <t>DISEASE MANAGEMENT &amp; HEALTH OUTCOMES - ( 11738790 )</t>
  </si>
  <si>
    <t>Diseases of Colon &amp; Rectum - ( 00123706 )</t>
  </si>
  <si>
    <t>Diseases of the Breast, 4th Edition (LWW Book) - ( 9780781791175 )</t>
  </si>
  <si>
    <t>Diseccion de Grant - ( 9788496921757 )</t>
  </si>
  <si>
    <t>Disorders of Thrombosis and Hemostasis Clinical an - ( 9780397516902 )</t>
  </si>
  <si>
    <t>Dolor asociado al cancer - ( 9788496921856 )</t>
  </si>
  <si>
    <t>Drug Interaction Facts 2009 - ( 9781574392944 )</t>
  </si>
  <si>
    <t>Drug Investigation - ( 01142402 )</t>
  </si>
  <si>
    <t>DRUG SAFETY - ( 01145916 )</t>
  </si>
  <si>
    <t>Drug Safety Online - ( 4789577 )</t>
  </si>
  <si>
    <t>DRUGS - ( 00126667 )</t>
  </si>
  <si>
    <t>DRUGS &amp; AGING - ( 1170229X )</t>
  </si>
  <si>
    <t>Drugs &amp; Aging Online - ( 4769278 )</t>
  </si>
  <si>
    <t>DRUGS &amp; THERAPY PERSPECTIVES - ( 11720360 )</t>
  </si>
  <si>
    <t>Drugs in Pregnancy and Lactation: - ( 9780781778763 )</t>
  </si>
  <si>
    <t>DRUGS IN R&amp;D - ( 11745886 )</t>
  </si>
  <si>
    <t>Drugs in Research &amp; Development Online - ( 4764838 )</t>
  </si>
  <si>
    <t>Duanes Ophthalmology - ( 9781605477329 )</t>
  </si>
  <si>
    <t>EAR &amp; HEARING - ( 01960202 )</t>
  </si>
  <si>
    <t>Ecocardiografía de Feigenbaum - ( 9788496921825 )</t>
  </si>
  <si>
    <t>Efectos adversos del tratamiento antiretrovírico - ( 9788493531805 )</t>
  </si>
  <si>
    <t>Egyptian Journal of Histology - ( 20902417 )</t>
  </si>
  <si>
    <t>Egyptian Journal of Oral and Maxillofacial Surgery - ( 20905424 )</t>
  </si>
  <si>
    <t>Egyptian Journal of Pathology - ( 20905378 )</t>
  </si>
  <si>
    <t>Egyptian Journal of Public Health Association - ( 2090262X )</t>
  </si>
  <si>
    <t>El libro del ECG - ( 9788496921016 )</t>
  </si>
  <si>
    <t>Electrophysiology of Arrhythmias: Practical Images - ( 9781605475905 )</t>
  </si>
  <si>
    <t>EMERGENCY MEDICINE NEWS - ( 10540725 )</t>
  </si>
  <si>
    <t>Emergency Psychiatry Principles and Practice - ( 9780781768733 )</t>
  </si>
  <si>
    <t>Endoscopic Paranasal Sinus Surgery - ( 9780781740777 )</t>
  </si>
  <si>
    <t>Enfermedad de Parkinson y trastornos del - ( 9788493558376 )</t>
  </si>
  <si>
    <t>ENT TODAY - ( 15594939 )</t>
  </si>
  <si>
    <t>EPIDEMIOLOGY - ( 10443983 )</t>
  </si>
  <si>
    <t>EPIDEMIOLOGY ONLINE - ( 15315487 )</t>
  </si>
  <si>
    <t>Epilepsy: A Comprehensive Textbook 2nd Edition (LW - ( 9780781757775 )</t>
  </si>
  <si>
    <t>ESC Guidelines Desk Reference - Comp of Abridged - ( 9780781764216 )</t>
  </si>
  <si>
    <t>Essential Cancer Pharmacology: The Prescriber's Gu - ( 9781609137045 )</t>
  </si>
  <si>
    <t>ESSENTIALS OF PHARMACOECONOMICS - ( 9780781765442 )</t>
  </si>
  <si>
    <t>Ethical Issues in Neurology - ( 9780781790604 )</t>
  </si>
  <si>
    <t>EUROPEAN JOURNAL EMERGENCY MEDICINE - ( 09699546 )</t>
  </si>
  <si>
    <t>European Journal of Anesthesiology - ( 02650215 )</t>
  </si>
  <si>
    <t>EUROPEAN JOURNAL OF CANCER PREVENTION - ( 09598278 )</t>
  </si>
  <si>
    <t>EUROPEAN JOURNAL OF CARDIO PREVENTION &amp; REHAB - ( 17418267 )</t>
  </si>
  <si>
    <t>EUROPEAN JOURNAL OF GASTROENTEROLOGY &amp; HEPATOLOGY - ( 0954691X )</t>
  </si>
  <si>
    <t>Evidence-Based Cardiology, 3rd Edition (LWW Book) - ( 9780781764735 )</t>
  </si>
  <si>
    <t>EVIDENCE-BASED GASTROENTEROLOGY - ( 15278557 )</t>
  </si>
  <si>
    <t>Evidence-Based Integrative Medicine - ( 11762330 )</t>
  </si>
  <si>
    <t>EVIDENCE-BASED OPTH CRIT APPRAISAL &amp; HLTHCR ECON - ( 15559203 )</t>
  </si>
  <si>
    <t>EXC Guidlines Compendium 2008 - ( 9781605476247 )</t>
  </si>
  <si>
    <t>EXERCISE &amp; SPORT SCIENCES REVIEWS - ( 00916331 )</t>
  </si>
  <si>
    <t>External marketing materials/campaign - ( 301309 )</t>
  </si>
  <si>
    <t>EYE &amp; CONTACT LENS: SCIENCE &amp; CLINICAL PRACTICE - ( 15422321 )</t>
  </si>
  <si>
    <t>EYE &amp; CONTACT LENS: SCIENCE &amp; CLINICAL PRACTICE - ( 1542233X )</t>
  </si>
  <si>
    <t>Facts &amp; Comparisons 4.0 - ( 9781574392814 )</t>
  </si>
  <si>
    <t>FAMILY &amp; COMMUNITY HEALTH - ( 01606379 )</t>
  </si>
  <si>
    <t>Farmacologia (LIR) - Harvey - ( 9788496921313 )</t>
  </si>
  <si>
    <t>Fármacos durante el embarazo y la lactancia - ( 9788496921276 )</t>
  </si>
  <si>
    <t>Feigenbaum's Echocardiography, 7th Edition (LWW Bo - ( 9780781795579 )</t>
  </si>
  <si>
    <t>Fisiología respiratoria - ( 9788496921283 )</t>
  </si>
  <si>
    <t>Fisiología y fisiopatología pulmonar; estudio de - ( 9788496921030 )</t>
  </si>
  <si>
    <t>Fisiopatologia Pulmonar - ( 9788496921085 )</t>
  </si>
  <si>
    <t>Fisiopatología pulmonar - ( 9788996921085 )</t>
  </si>
  <si>
    <t>Fisiopatologiade las cardiopatias - ( 9788496921108 )</t>
  </si>
  <si>
    <t>Five 5-Minute Clinical Consult 2010 - ( 9781605470139 )</t>
  </si>
  <si>
    <t>ForeThought - Consultancy Work - ( 300222 )</t>
  </si>
  <si>
    <t>ForeThought - KOL Calls - ( 300221 )</t>
  </si>
  <si>
    <t>ForeThought - Syndicated Reports - ( 300223 )</t>
  </si>
  <si>
    <t>ForeThought - Weekly Research Reports - ( 300220 )</t>
  </si>
  <si>
    <t>Fractures in Adults and Children - ( 9780781784177 )</t>
  </si>
  <si>
    <t>Funamentals of Diagnostic Radiology - ( 9788496921078 )</t>
  </si>
  <si>
    <t>Fundamentals of Sleep Technology (LWW Book) - ( 9780781792875 )</t>
  </si>
  <si>
    <t>Fundamentos de Anatomia con Orientaction Clinica - ( 9788496921160 )</t>
  </si>
  <si>
    <t>GASTROENTEROLOGY NURSING - ( 1042895X )</t>
  </si>
  <si>
    <t>Gastrointestinal Oncology - ( 9781931884235 )</t>
  </si>
  <si>
    <t>General - ( 399998 )</t>
  </si>
  <si>
    <t>General Analysis - ( 300110 )</t>
  </si>
  <si>
    <t>Genesis Report DX - ( 10612289 )</t>
  </si>
  <si>
    <t>GENETICS IN MEDICINE - ( 10983600 )</t>
  </si>
  <si>
    <t>Giornale Italiano di Health Technology Assessment - ( 20353510 )</t>
  </si>
  <si>
    <t>Goodheart’s Same-Site Differential Diagnosis: A Ra - ( 9781605477466 )</t>
  </si>
  <si>
    <t>Goodhearts Photoguide Common Skin Disorders - ( 9780781771436 )</t>
  </si>
  <si>
    <t>Greens Operative Hand surgery - ( 978443066269 )</t>
  </si>
  <si>
    <t>Guia Basica de Bolsillo Para el Professional de la - ( 9788496921504 )</t>
  </si>
  <si>
    <t>Guia Bates de Exploracion Fisica E Historica Clini - ( 9788496921481 )</t>
  </si>
  <si>
    <t>Guide to Drug Development: A Comprehensive Review - ( 9780781774246 )</t>
  </si>
  <si>
    <t>Gynecologic Oncology - ( 9788496921665 )</t>
  </si>
  <si>
    <t>Handbook for Principles and Practice of Gynecologi - ( 9780781778480 )</t>
  </si>
  <si>
    <t>Handbook of Anesthesia - ( 978078178948 )</t>
  </si>
  <si>
    <t>Handbook of Clinical Anesthesia, 6th Edition (LWW - ( 9780781789486 )</t>
  </si>
  <si>
    <t>Handbook of Dialysis - ( 9780781752534 )</t>
  </si>
  <si>
    <t>Handbook of fractures - ( 9788496921788 )</t>
  </si>
  <si>
    <t>Handbook of Headache - ( 78175223 )</t>
  </si>
  <si>
    <t>Handbook of Headache - ( 9780781752237 )</t>
  </si>
  <si>
    <t>Handbook of Inflammatory Bowel Disease (LWW Book) - ( 9780781766302 )</t>
  </si>
  <si>
    <t>Handbook of Kidney Transplantation - ( 9780781753227 )</t>
  </si>
  <si>
    <t>Handbook of Kidney Transplantation - ( 9780781793742 )</t>
  </si>
  <si>
    <t>Handbook of Obstetric and Gynecologic Emergencies, - ( 9781605476667 )</t>
  </si>
  <si>
    <t>Handbook of Psychiatric Drug Therapy, 6th Edition - ( 9780781774864 )</t>
  </si>
  <si>
    <t>Handbook of Signs and Symptoms - ( 9781582554020 )</t>
  </si>
  <si>
    <t>HEALTH CARE MANAGER - ( 15255794 )</t>
  </si>
  <si>
    <t>HEALTH CARE MGMT REVIEW - ( 03616274 )</t>
  </si>
  <si>
    <t>HEALTH DATA MATRIX - ( 19362994 )</t>
  </si>
  <si>
    <t>HEALTH PHYSICS: THE RADIATION SAFETY JOURNAL - ( 00179078 )</t>
  </si>
  <si>
    <t>Heart &amp; Metabolism - ( 15660038 )</t>
  </si>
  <si>
    <t>Heart and Metabolism - ( 15660338 )</t>
  </si>
  <si>
    <t>HEART INSIGHT - ( 19345917 )</t>
  </si>
  <si>
    <t>Hemostasis and Thrombosis: Basic Principles and Cl - ( 9780781749961 )</t>
  </si>
  <si>
    <t>HIGH BLOOD PRESSURE &amp; CARDIOVASCULAR PREVENTION - ( 11209879 )</t>
  </si>
  <si>
    <t>High Yield Biostatistics - ( 9780781796446 )</t>
  </si>
  <si>
    <t>Hipertensión clínica - ( 9788496921917 )</t>
  </si>
  <si>
    <t>HOLISTIC NURSING PRACTICE - ( 08879311 )</t>
  </si>
  <si>
    <t>HOME HEALTHCARE NURSE - ( 0884741X )</t>
  </si>
  <si>
    <t>HOSPITAL PHARMACY - ( 00185787 )</t>
  </si>
  <si>
    <t>HYPERTENSION - ( 0194911X )</t>
  </si>
  <si>
    <t>HYPERTENSION ONLINE - ( 15244563 )</t>
  </si>
  <si>
    <t>Hypertension primer: The essentials of high blood - ( 9780781782050 )</t>
  </si>
  <si>
    <t>Illustrated Q&amp;A Review of Neuroscience - ( 9781605478227 )</t>
  </si>
  <si>
    <t>IMAGES EXPENSE - ( 300113 )</t>
  </si>
  <si>
    <t>Immunohematology - ( 9780781782043 )</t>
  </si>
  <si>
    <t>Immunologia (LIR) - ( 9788496921139 )</t>
  </si>
  <si>
    <t>Immunology/ID/VIR - ( 300122 )</t>
  </si>
  <si>
    <t>IMPLANT DENTISTRY - ( 10566163 )</t>
  </si>
  <si>
    <t>INFANTS AND YOUNG CHILDREN - ( 08963746 )</t>
  </si>
  <si>
    <t>INFECTIOUS DISEASES IN CLINICAL PRACTICE - ( 10569103 )</t>
  </si>
  <si>
    <t>Infectious Diseases of the Female Genital Tract, 5 - ( 9780781778152 )</t>
  </si>
  <si>
    <t>Inflammatory Bowel Diseases - ( 10780998 )</t>
  </si>
  <si>
    <t>INNOVATIONS TECHNOLOGY TECH IN CARDIO VAS SURGERY - ( 15569845 )</t>
  </si>
  <si>
    <t>INPHARMA WEEKLY - ( 11738324 )</t>
  </si>
  <si>
    <t>Inpharma Weekly Online - ( 10491599 )</t>
  </si>
  <si>
    <t>Interactive Electrocardiography - ( 9780781778633 )</t>
  </si>
  <si>
    <t>Interface of Neurology &amp; Internal Medicine - ( 9780781779067 )</t>
  </si>
  <si>
    <t>Internal marketing materials/campaign - ( 301310 )</t>
  </si>
  <si>
    <t>INTERNATIONAL ANESTHES CLINICS - ( 00205907 )</t>
  </si>
  <si>
    <t>INTERNATIONAL CLINICAL PSYCHOPHARMACOLOGY - ( 02681315 )</t>
  </si>
  <si>
    <t>International Journal of Gynecological Cancer - ( 1048891X )</t>
  </si>
  <si>
    <t>INTERNATIONAL JOURNAL OF GYNECOLOGICAL PATHOLOGY - ( 02771691 )</t>
  </si>
  <si>
    <t>INTERNATIONAL JOURNAL OF PHARMACEUTICAL MEDICINE - ( 13649027 )</t>
  </si>
  <si>
    <t>INTERNATIONAL JOURNAL OF REHABILITATION RESEARCH - ( 03425282 )</t>
  </si>
  <si>
    <t>INTERNATIONAL OPHTHALMOLOGY CLINICS - ( 00208167 )</t>
  </si>
  <si>
    <t>Interpretacion Clinica de las Pruebas de Laborator - ( 9788496921047 )</t>
  </si>
  <si>
    <t>Interpretacion de pruebas pulmonares - ( 9788496921399 )</t>
  </si>
  <si>
    <t>Interpretation of Pulmonary Function Tests: A Prac - ( 9780781778824 )</t>
  </si>
  <si>
    <t>INTERVENTION - ( 15718883 )</t>
  </si>
  <si>
    <t>Intro Guide to Cardiac CT Imaging - ( 9781582559384 )</t>
  </si>
  <si>
    <t>INVESTIGATIVE RADIOLOGY - ( 00209996 )</t>
  </si>
  <si>
    <t>IRJ General - ( 300114 )</t>
  </si>
  <si>
    <t>JCR: JOURNAL CLINICAL RHEUMATOLOGY - ( 10761608 )</t>
  </si>
  <si>
    <t>Jnl of Clinical Gastroenterology - ( 10920790 )</t>
  </si>
  <si>
    <t>JONA'S HEALTHCARE LAW - ( 15209229 )</t>
  </si>
  <si>
    <t>Joslin's Diabetes Mellitus - ( 9788493531836 )</t>
  </si>
  <si>
    <t>Joslin's Diabetes Mellitus 14th Edition (LWW Book) - ( 9780781727969 )</t>
  </si>
  <si>
    <t>JOURNAL AMER ACADEMY CHILD &amp; ADOLESCENT - ( 15275418 )</t>
  </si>
  <si>
    <t>JOURNAL FOR NURSES IN STAFF DEVELOPMENT - ( 10987886 )</t>
  </si>
  <si>
    <t>JOURNAL LOWER GENITAL TRACT DISEASE - ( 10892591 )</t>
  </si>
  <si>
    <t>JOURNAL OF ADDICTION MEDICINE - ( 19320620 )</t>
  </si>
  <si>
    <t>JOURNAL OF AIDS - ( 15254135 )</t>
  </si>
  <si>
    <t>JOURNAL OF AMBULATORY CARE MANAGEMENT - ( 01489917 )</t>
  </si>
  <si>
    <t>JOURNAL OF AMER ACADEMY OF CHILD &amp; ADOLESCENT - ( 08908567 )</t>
  </si>
  <si>
    <t>JOURNAL OF BRONCHOLOGY - ( 10708030 )</t>
  </si>
  <si>
    <t>JOURNAL OF BURN CARE RESEARCH - ( 02738481 )</t>
  </si>
  <si>
    <t>JOURNAL OF CARDIOPULMONARY REHABILITATION &amp; - ( 19327501 )</t>
  </si>
  <si>
    <t>JOURNAL OF CARDIOVASCULAR MEDICINE - ( 15582027 )</t>
  </si>
  <si>
    <t>JOURNAL OF CARDIOVASCULAR NURSING - ( 08894655 )</t>
  </si>
  <si>
    <t>JOURNAL OF CARDIOVASCULAR PHARMACOLOGY - ( 01602446 )</t>
  </si>
  <si>
    <t>Journal of Cardiovascular Risk - ( 13506277 )</t>
  </si>
  <si>
    <t>JOURNAL OF CHRISTIAN NURSING - ( 07432550 )</t>
  </si>
  <si>
    <t>JOURNAL OF CLINICAL ENGINEERING - ( 03638855 )</t>
  </si>
  <si>
    <t>JOURNAL OF CLINICAL GASTROENTEROLOGY - ( 01920790 )</t>
  </si>
  <si>
    <t>JOURNAL OF CLINICAL NEUROMUSCULAR DISEASE - ( 15220443 )</t>
  </si>
  <si>
    <t>JOURNAL OF CLINICAL NEUROPHYSIOLOGY - ( 07360258 )</t>
  </si>
  <si>
    <t>JOURNAL OF CLINICAL PSYCHOPHARMACOLOGY - ( 02710749 )</t>
  </si>
  <si>
    <t>JOURNAL OF COMPUTER ASSISTED TOMOGRAPHY - ( 03638715 )</t>
  </si>
  <si>
    <t>JOURNAL OF CRANIOFACIAL SURGERY - ( 10492275 )</t>
  </si>
  <si>
    <t>JOURNAL OF DEVELOPMENTAL &amp; BEHAVIORAL PEDIATRICS - ( 0196206X )</t>
  </si>
  <si>
    <t>JOURNAL OF ECT - ( 10950680 )</t>
  </si>
  <si>
    <t>JOURNAL OF GLAUCOMA - ( 10570829 )</t>
  </si>
  <si>
    <t>JOURNAL OF HEAD TRAUMA REHABILITATION - ( 08859701 )</t>
  </si>
  <si>
    <t>JOURNAL OF HOSPICE &amp; PALLIATIVE NURSING - ( 15222179 )</t>
  </si>
  <si>
    <t>JOURNAL OF HYPERTENSION - ( 02636352 )</t>
  </si>
  <si>
    <t>JOURNAL OF IMMUNOTHERAPY - ( 10538550 )</t>
  </si>
  <si>
    <t>JOURNAL OF IMMUNOTHERAPY ONLINE - ( 15374513 )</t>
  </si>
  <si>
    <t>JOURNAL OF INFUSION NURSING - ( 15331458 )</t>
  </si>
  <si>
    <t>JOURNAL OF INVESTIGATIVE MEDICINE - ( 10815589 )</t>
  </si>
  <si>
    <t>JOURNAL OF NEUROLOGICAL PHYSICAL THERAPY - ( 15570576 )</t>
  </si>
  <si>
    <t>JOURNAL OF NEUROLOGICAL PHYSICAL THERAPY ONLINE - ( 15570584 )</t>
  </si>
  <si>
    <t>JOURNAL OF NEURO-OPHTHALMOLOGY - ( 10708022 )</t>
  </si>
  <si>
    <t xml:space="preserve"> CONTRATO MÉDICO1:</t>
  </si>
  <si>
    <t xml:space="preserve"> CONTRATO MÉDICO2:</t>
  </si>
  <si>
    <t>DIAGRAMAÇÃO:</t>
  </si>
  <si>
    <t>FRANCES</t>
  </si>
  <si>
    <t>C:\Users\Ailton\Desktop\tania\SERVER\dbOrcamentos-v03_121019-1815.MDB</t>
  </si>
  <si>
    <t>C:\Users\Ailton\Desktop\tania\bin\121025-1056_dbHOME.mdb</t>
  </si>
  <si>
    <t>Citação.nº da pag.</t>
  </si>
  <si>
    <t>0</t>
  </si>
  <si>
    <t>LINHA DE PRODUTO:</t>
  </si>
  <si>
    <t xml:space="preserve">PREÇO DE VENDA (GROSS)
</t>
  </si>
  <si>
    <t>SERVIDOR</t>
  </si>
  <si>
    <t>X</t>
  </si>
  <si>
    <t>BANCO 01</t>
  </si>
  <si>
    <t>Source:</t>
  </si>
  <si>
    <t>driver:</t>
  </si>
  <si>
    <t>MySQL ODBC 5.2a Driver</t>
  </si>
  <si>
    <t>Microsoft Access Driver (*.mdb, *.accdb)</t>
  </si>
  <si>
    <t>location:</t>
  </si>
  <si>
    <t>186.202.152.40</t>
  </si>
  <si>
    <t>database:</t>
  </si>
  <si>
    <t>Ailton_springer</t>
  </si>
  <si>
    <t>user:</t>
  </si>
  <si>
    <t>Ailto_springer</t>
  </si>
  <si>
    <t>admin</t>
  </si>
  <si>
    <t>password:</t>
  </si>
  <si>
    <t>41L70N@@</t>
  </si>
  <si>
    <t>abc</t>
  </si>
  <si>
    <t>port:</t>
  </si>
  <si>
    <t>DRIVERS</t>
  </si>
  <si>
    <t>SOURCE</t>
  </si>
  <si>
    <t>Microsoft.ACE.OLEDB.12.0</t>
  </si>
  <si>
    <t>Access</t>
  </si>
  <si>
    <t>Access2003</t>
  </si>
  <si>
    <t>SQLite3 ODBC Driver</t>
  </si>
  <si>
    <t>SQLite</t>
  </si>
  <si>
    <t>MySQL</t>
  </si>
  <si>
    <t>PostgreSQL ANSI</t>
  </si>
  <si>
    <t>PostgreSQL</t>
  </si>
  <si>
    <t>TRADUÇÃO</t>
  </si>
  <si>
    <t>REVISÃO</t>
  </si>
  <si>
    <t>DIAGRAMAÇÃO</t>
  </si>
  <si>
    <t>PAGINA(S)</t>
  </si>
  <si>
    <t>VALOR POR PAGINA</t>
  </si>
  <si>
    <t>TIPO:</t>
  </si>
  <si>
    <t>PAPEL:</t>
  </si>
  <si>
    <t>No PÁGINAS:</t>
  </si>
  <si>
    <t>IMPRESSÃO:</t>
  </si>
  <si>
    <t>VENDIDO:</t>
  </si>
  <si>
    <t>SOMA DE CUSTOS:</t>
  </si>
  <si>
    <t>DESCONTO COMPRAS PADRÃO:</t>
  </si>
  <si>
    <t>PREÇO TOTAL:</t>
  </si>
  <si>
    <t>PREÇO COMPRAS:</t>
  </si>
  <si>
    <t>MGM MINIMA COMPRAS:</t>
  </si>
  <si>
    <t>PREÇO UNITÁRIO COMPRAS:</t>
  </si>
  <si>
    <t>DESCONTO COMPRAS X MKT:</t>
  </si>
  <si>
    <t>MARGEM BRUTA:</t>
  </si>
  <si>
    <t>PREÇO MKT:</t>
  </si>
  <si>
    <t>PREÇO UNITARIO:</t>
  </si>
  <si>
    <t>MARGEM %:</t>
  </si>
  <si>
    <t>FASCÍCULOS:</t>
  </si>
  <si>
    <t>(FRETE) - TRANSP. NAC.:</t>
  </si>
  <si>
    <t>(FRETE) - TRANSP.INTERN.:</t>
  </si>
  <si>
    <t>5%</t>
  </si>
  <si>
    <t>root</t>
  </si>
  <si>
    <t>ailton_springer</t>
  </si>
  <si>
    <t>127.0.0.1</t>
  </si>
  <si>
    <t>UNITARIO GROSS:</t>
  </si>
  <si>
    <t>ARREDONDAMENTO:</t>
  </si>
  <si>
    <t>PREÇO VENDA GROSS:</t>
  </si>
  <si>
    <t>PRODUTO:</t>
  </si>
  <si>
    <t>SERVIÇO:</t>
  </si>
  <si>
    <t>PREÇO TOTAL (FASCICULOS):</t>
  </si>
  <si>
    <t>MARGEM MINIMA (VALOR):</t>
  </si>
  <si>
    <t>MARGEM MINIMA (%):</t>
  </si>
  <si>
    <t>DATA DE VENDA:</t>
  </si>
  <si>
    <t>MySQL ODBC 5.3 ANSI Driver</t>
  </si>
  <si>
    <t>ADIS JNL REPRINTS</t>
  </si>
  <si>
    <t>0,65</t>
  </si>
  <si>
    <t>0,55</t>
  </si>
  <si>
    <t>SH JNL REPRINTS</t>
  </si>
  <si>
    <t>SPRINGER JNL REPRINTS</t>
  </si>
  <si>
    <t>SPRINGER BOOKS</t>
  </si>
  <si>
    <t>0,60</t>
  </si>
  <si>
    <t>0,50</t>
  </si>
  <si>
    <t>SH BOOKS</t>
  </si>
  <si>
    <t>INSCIENCE  MED COMMS</t>
  </si>
  <si>
    <t>LWW REPRINTS</t>
  </si>
  <si>
    <t>0,40</t>
  </si>
  <si>
    <t>0,30</t>
  </si>
  <si>
    <t>LWW LOCAL EDITIONS</t>
  </si>
  <si>
    <t>LWW ACC</t>
  </si>
  <si>
    <t>0,35</t>
  </si>
  <si>
    <t>0,25</t>
  </si>
  <si>
    <t>LWW BULK BOOKS</t>
  </si>
  <si>
    <t>0,44</t>
  </si>
  <si>
    <t>0,33</t>
  </si>
  <si>
    <t>3º PARTY CONTRACTUAL</t>
  </si>
  <si>
    <t>3º PARTY WILEY</t>
  </si>
  <si>
    <t>ASCO BD DEVELOPMENT (excl. VM)</t>
  </si>
  <si>
    <t>ASCO REPRINT</t>
  </si>
  <si>
    <t>0,20</t>
  </si>
  <si>
    <t>ASCO LOCAL EDITION</t>
  </si>
  <si>
    <t>AMA - ENGLISH</t>
  </si>
  <si>
    <t>AMA - TRANSLATED</t>
  </si>
  <si>
    <t>0,45</t>
  </si>
  <si>
    <t>AACR-ENGLISH</t>
  </si>
  <si>
    <t>AACR-TRANSLATED</t>
  </si>
  <si>
    <t>ASCO BD - Virtual Meeting</t>
  </si>
  <si>
    <t>REPRINTS</t>
  </si>
  <si>
    <t>MEDCOMMS</t>
  </si>
  <si>
    <t>VALOR</t>
  </si>
  <si>
    <t>PAGINAS</t>
  </si>
  <si>
    <t>ESTILO</t>
  </si>
  <si>
    <t>CUSTOS DE PRODUÇÃO</t>
  </si>
  <si>
    <t>IR</t>
  </si>
  <si>
    <t>DESCRIÇÃO</t>
  </si>
  <si>
    <t xml:space="preserve">CALCULO DE GRANT </t>
  </si>
  <si>
    <t>GRAND LIQUIDO</t>
  </si>
  <si>
    <t>TABELA DO IRF 2014 - VIGÊNCIA A PARTIR DE 01.01.2014</t>
  </si>
  <si>
    <t>Medida Provisória 528/2011 convertida na Lei 12.469/2011</t>
  </si>
  <si>
    <t>Base de Cálculo (R$)</t>
  </si>
  <si>
    <t>Alíquota (%)</t>
  </si>
  <si>
    <t>Parcela a Deduzir do IR (R$)</t>
  </si>
  <si>
    <t>Até 1.787,77</t>
  </si>
  <si>
    <t>-</t>
  </si>
  <si>
    <t>De 1.787,78 até 2.679,29</t>
  </si>
  <si>
    <t>7,5</t>
  </si>
  <si>
    <t>De 2.679,30 até 3.572,43</t>
  </si>
  <si>
    <t>De 3.572,44 até 4.463,81</t>
  </si>
  <si>
    <t>22,5</t>
  </si>
  <si>
    <t>Acima de 4.463,81</t>
  </si>
  <si>
    <t>27,5</t>
  </si>
  <si>
    <t>PREÇOS GRID (exemplo hipotetico)</t>
  </si>
  <si>
    <t>R/USD</t>
  </si>
  <si>
    <t>R$</t>
  </si>
  <si>
    <t>TIRAGEM</t>
  </si>
  <si>
    <t>PREÇO MÍNIMO</t>
  </si>
  <si>
    <t>TOTAL</t>
  </si>
  <si>
    <t>???</t>
  </si>
  <si>
    <t>VALOR ( BRUTO )</t>
  </si>
  <si>
    <t>DR. AILTON</t>
  </si>
  <si>
    <t>PARCELA DEDUTIVEL ( IR )</t>
  </si>
  <si>
    <t>JOSE ( JORNALISTA )</t>
  </si>
  <si>
    <t>TRADUÇÃO ABSTRACT</t>
  </si>
  <si>
    <t>REVISÃO PASTA</t>
  </si>
  <si>
    <t>DIAGRAMAÇÃO PASTA</t>
  </si>
  <si>
    <t>REVISÃO BLOCO</t>
  </si>
  <si>
    <t>DIAGRAMAÇÃO BLOCO</t>
  </si>
  <si>
    <t>REVISÃO DISPLAY</t>
  </si>
  <si>
    <t>DIAGRAMAÇÃO DISPLAY</t>
  </si>
  <si>
    <t>REVISÃO LIVROS</t>
  </si>
  <si>
    <t>DIAGRAMAÇÃO LIVROS</t>
  </si>
  <si>
    <t>FUNÇÕES</t>
  </si>
  <si>
    <t>DATA DE ABERTURA:</t>
  </si>
  <si>
    <t>id</t>
  </si>
  <si>
    <t>Abbott/Abbvie</t>
  </si>
  <si>
    <t>AstraZeneca</t>
  </si>
  <si>
    <t>BAYER</t>
  </si>
  <si>
    <t>BIOMARIM</t>
  </si>
  <si>
    <t>Boehringer</t>
  </si>
  <si>
    <t>EliLilly</t>
  </si>
  <si>
    <t>JANSSEN</t>
  </si>
  <si>
    <t>MEADJOHNSON</t>
  </si>
  <si>
    <t>NOVARTIS</t>
  </si>
  <si>
    <t>NOVONORDISK</t>
  </si>
  <si>
    <t>C:\Users\AILTON\Desktop\@VENDAS\db\dbOrcamentos.mdb</t>
  </si>
  <si>
    <t>JOSEFINA DA SILVA</t>
  </si>
  <si>
    <t>LOCAL</t>
  </si>
  <si>
    <t>WEB</t>
  </si>
  <si>
    <t>_993</t>
  </si>
  <si>
    <t>_991</t>
  </si>
  <si>
    <t>_992</t>
  </si>
  <si>
    <t>_994</t>
  </si>
</sst>
</file>

<file path=xl/styles.xml><?xml version="1.0" encoding="utf-8"?>
<styleSheet xmlns="http://schemas.openxmlformats.org/spreadsheetml/2006/main">
  <numFmts count="1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R$ &quot;* #,##0.00_);_(&quot;R$ &quot;* \(#,##0.00\);_(&quot;R$ &quot;* &quot;-&quot;??_);_(@_)"/>
    <numFmt numFmtId="165" formatCode="_(* #,##0.00_);_(* \(#,##0.00\);_(* &quot;-&quot;??_);_(@_)"/>
    <numFmt numFmtId="166" formatCode="[$-416]d\ \ mmmm\,\ yyyy;@"/>
    <numFmt numFmtId="167" formatCode="_-* #,##0_-;\-* #,##0_-;_-* &quot;-&quot;??_-;_-@_-"/>
    <numFmt numFmtId="168" formatCode="0.00000"/>
    <numFmt numFmtId="169" formatCode="_-&quot;£&quot;* #,##0.00_-;\-&quot;£&quot;* #,##0.00_-;_-&quot;£&quot;* &quot;-&quot;??_-;_-@_-"/>
    <numFmt numFmtId="170" formatCode="0.000"/>
    <numFmt numFmtId="171" formatCode="_(* #,##0_);_(* \(#,##0\);_(* &quot;-&quot;??_);_(@_)"/>
    <numFmt numFmtId="172" formatCode="0.0%"/>
    <numFmt numFmtId="173" formatCode="_(&quot;R$&quot;* #,##0.00_);_(&quot;R$&quot;* \(#,##0.00\);_(&quot;R$&quot;* &quot;-&quot;??_);_(@_)"/>
    <numFmt numFmtId="174" formatCode="_-[$$-409]* #,##0.00_ ;_-[$$-409]* \-#,##0.00\ ;_-[$$-409]* &quot;-&quot;??_ ;_-@_ "/>
  </numFmts>
  <fonts count="46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name val="Trebuchet MS"/>
      <family val="2"/>
    </font>
    <font>
      <b/>
      <sz val="10"/>
      <name val="Trebuchet MS"/>
      <family val="2"/>
    </font>
    <font>
      <b/>
      <sz val="16"/>
      <color indexed="62"/>
      <name val="Trebuchet MS"/>
      <family val="2"/>
    </font>
    <font>
      <b/>
      <sz val="10"/>
      <color indexed="9"/>
      <name val="Trebuchet MS"/>
      <family val="2"/>
    </font>
    <font>
      <b/>
      <sz val="12"/>
      <name val="Trebuchet MS"/>
      <family val="2"/>
    </font>
    <font>
      <b/>
      <sz val="12"/>
      <color indexed="9"/>
      <name val="Trebuchet MS"/>
      <family val="2"/>
    </font>
    <font>
      <b/>
      <sz val="20"/>
      <name val="Trebuchet MS"/>
      <family val="2"/>
    </font>
    <font>
      <b/>
      <sz val="11"/>
      <name val="Trebuchet MS"/>
      <family val="2"/>
    </font>
    <font>
      <b/>
      <sz val="11"/>
      <color indexed="9"/>
      <name val="Trebuchet MS"/>
      <family val="2"/>
    </font>
    <font>
      <b/>
      <sz val="14"/>
      <color indexed="62"/>
      <name val="Trebuchet MS"/>
      <family val="2"/>
    </font>
    <font>
      <sz val="10"/>
      <color indexed="9"/>
      <name val="Trebuchet MS"/>
      <family val="2"/>
    </font>
    <font>
      <b/>
      <sz val="22"/>
      <name val="Trebuchet MS"/>
      <family val="2"/>
    </font>
    <font>
      <sz val="16"/>
      <color indexed="9"/>
      <name val="Trebuchet MS"/>
      <family val="2"/>
    </font>
    <font>
      <sz val="16"/>
      <color indexed="9"/>
      <name val="Arial"/>
      <family val="2"/>
    </font>
    <font>
      <b/>
      <sz val="11"/>
      <color indexed="8"/>
      <name val="Calibri"/>
      <family val="2"/>
    </font>
    <font>
      <sz val="10"/>
      <name val="Tahoma"/>
      <family val="2"/>
    </font>
    <font>
      <b/>
      <sz val="10"/>
      <name val="Tahoma"/>
      <family val="2"/>
    </font>
    <font>
      <sz val="8"/>
      <name val="Calibri"/>
      <family val="2"/>
    </font>
    <font>
      <u/>
      <sz val="4.4000000000000004"/>
      <color indexed="12"/>
      <name val="Calibri"/>
      <family val="2"/>
    </font>
    <font>
      <sz val="11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Trebuchet MS"/>
      <family val="2"/>
    </font>
    <font>
      <b/>
      <sz val="11"/>
      <color theme="1"/>
      <name val="Calibri"/>
      <family val="2"/>
      <scheme val="minor"/>
    </font>
    <font>
      <sz val="10"/>
      <color theme="0"/>
      <name val="Trebuchet MS"/>
      <family val="2"/>
    </font>
    <font>
      <b/>
      <sz val="11"/>
      <color theme="0"/>
      <name val="Calibri"/>
      <family val="2"/>
      <scheme val="minor"/>
    </font>
    <font>
      <b/>
      <sz val="10"/>
      <color theme="0" tint="-0.249977111117893"/>
      <name val="Trebuchet MS"/>
      <family val="2"/>
    </font>
    <font>
      <sz val="10"/>
      <color theme="0" tint="-0.249977111117893"/>
      <name val="Trebuchet MS"/>
      <family val="2"/>
    </font>
    <font>
      <b/>
      <sz val="11"/>
      <color theme="0" tint="-0.249977111117893"/>
      <name val="Trebuchet MS"/>
      <family val="2"/>
    </font>
    <font>
      <b/>
      <sz val="11"/>
      <name val="SimSun"/>
    </font>
    <font>
      <b/>
      <sz val="14"/>
      <color indexed="8"/>
      <name val="Trebuchet MS"/>
      <family val="2"/>
    </font>
    <font>
      <b/>
      <sz val="14"/>
      <name val="Trebuchet MS"/>
      <family val="2"/>
    </font>
    <font>
      <b/>
      <sz val="14"/>
      <color theme="0" tint="-0.249977111117893"/>
      <name val="Trebuchet MS"/>
      <family val="2"/>
    </font>
    <font>
      <sz val="11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color indexed="81"/>
      <name val="Tahoma"/>
      <family val="2"/>
    </font>
    <font>
      <b/>
      <sz val="14"/>
      <color indexed="81"/>
      <name val="Tahoma"/>
      <family val="2"/>
    </font>
    <font>
      <b/>
      <sz val="16"/>
      <name val="Trebuchet MS"/>
      <family val="2"/>
    </font>
    <font>
      <b/>
      <sz val="14"/>
      <color indexed="9"/>
      <name val="Trebuchet MS"/>
      <family val="2"/>
    </font>
    <font>
      <sz val="14"/>
      <name val="Trebuchet MS"/>
      <family val="2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gray0625"/>
    </fill>
    <fill>
      <patternFill patternType="solid">
        <fgColor indexed="62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lightGrid"/>
    </fill>
    <fill>
      <patternFill patternType="solid">
        <fgColor theme="6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0" fontId="2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>
      <alignment vertical="top"/>
      <protection locked="0"/>
    </xf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5" fillId="0" borderId="0"/>
    <xf numFmtId="0" fontId="26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6" fillId="0" borderId="0" applyFont="0" applyFill="0" applyBorder="0" applyAlignment="0" applyProtection="0"/>
    <xf numFmtId="44" fontId="25" fillId="0" borderId="0" applyFont="0" applyFill="0" applyBorder="0" applyAlignment="0" applyProtection="0"/>
  </cellStyleXfs>
  <cellXfs count="259">
    <xf numFmtId="0" fontId="0" fillId="0" borderId="0" xfId="0"/>
    <xf numFmtId="0" fontId="17" fillId="9" borderId="12" xfId="8" applyFont="1" applyFill="1" applyBorder="1" applyAlignment="1">
      <alignment horizontal="center" vertical="center"/>
    </xf>
    <xf numFmtId="0" fontId="4" fillId="0" borderId="0" xfId="8" applyFont="1" applyBorder="1"/>
    <xf numFmtId="0" fontId="4" fillId="0" borderId="0" xfId="8" applyFont="1" applyFill="1" applyBorder="1"/>
    <xf numFmtId="49" fontId="9" fillId="3" borderId="1" xfId="8" applyNumberFormat="1" applyFont="1" applyFill="1" applyBorder="1" applyAlignment="1">
      <alignment horizontal="right" vertical="center" wrapText="1"/>
    </xf>
    <xf numFmtId="0" fontId="5" fillId="0" borderId="0" xfId="8" applyFont="1" applyBorder="1"/>
    <xf numFmtId="49" fontId="9" fillId="3" borderId="2" xfId="8" applyNumberFormat="1" applyFont="1" applyFill="1" applyBorder="1" applyAlignment="1">
      <alignment horizontal="right" vertical="center"/>
    </xf>
    <xf numFmtId="0" fontId="5" fillId="0" borderId="0" xfId="8" applyFont="1" applyBorder="1" applyAlignment="1">
      <alignment horizontal="center"/>
    </xf>
    <xf numFmtId="0" fontId="5" fillId="0" borderId="0" xfId="8" applyFont="1" applyFill="1" applyBorder="1"/>
    <xf numFmtId="49" fontId="12" fillId="3" borderId="2" xfId="8" applyNumberFormat="1" applyFont="1" applyFill="1" applyBorder="1" applyAlignment="1">
      <alignment horizontal="right" vertical="center"/>
    </xf>
    <xf numFmtId="0" fontId="8" fillId="0" borderId="2" xfId="8" applyFont="1" applyFill="1" applyBorder="1" applyAlignment="1">
      <alignment horizontal="right" vertical="center"/>
    </xf>
    <xf numFmtId="0" fontId="8" fillId="4" borderId="2" xfId="8" applyFont="1" applyFill="1" applyBorder="1" applyAlignment="1">
      <alignment horizontal="right" vertical="center"/>
    </xf>
    <xf numFmtId="0" fontId="7" fillId="0" borderId="0" xfId="8" applyFont="1" applyFill="1" applyBorder="1"/>
    <xf numFmtId="0" fontId="4" fillId="0" borderId="0" xfId="8" applyFont="1" applyFill="1"/>
    <xf numFmtId="0" fontId="2" fillId="0" borderId="0" xfId="8"/>
    <xf numFmtId="49" fontId="14" fillId="3" borderId="1" xfId="8" applyNumberFormat="1" applyFont="1" applyFill="1" applyBorder="1" applyAlignment="1">
      <alignment horizontal="center"/>
    </xf>
    <xf numFmtId="49" fontId="14" fillId="3" borderId="5" xfId="8" applyNumberFormat="1" applyFont="1" applyFill="1" applyBorder="1" applyAlignment="1"/>
    <xf numFmtId="49" fontId="14" fillId="3" borderId="6" xfId="8" applyNumberFormat="1" applyFont="1" applyFill="1" applyBorder="1" applyAlignment="1"/>
    <xf numFmtId="49" fontId="14" fillId="3" borderId="7" xfId="8" applyNumberFormat="1" applyFont="1" applyFill="1" applyBorder="1" applyAlignment="1"/>
    <xf numFmtId="0" fontId="4" fillId="0" borderId="0" xfId="8" applyFont="1" applyFill="1" applyBorder="1" applyAlignment="1">
      <alignment horizontal="center"/>
    </xf>
    <xf numFmtId="0" fontId="15" fillId="0" borderId="0" xfId="8" applyFont="1" applyFill="1" applyBorder="1"/>
    <xf numFmtId="0" fontId="18" fillId="0" borderId="0" xfId="0" applyFont="1"/>
    <xf numFmtId="0" fontId="20" fillId="0" borderId="0" xfId="8" applyFont="1" applyBorder="1" applyAlignment="1">
      <alignment horizontal="center" vertical="center"/>
    </xf>
    <xf numFmtId="0" fontId="19" fillId="0" borderId="0" xfId="8" applyFont="1" applyBorder="1" applyAlignment="1">
      <alignment horizontal="left"/>
    </xf>
    <xf numFmtId="0" fontId="19" fillId="0" borderId="0" xfId="8" applyFont="1" applyFill="1" applyBorder="1" applyAlignment="1">
      <alignment horizontal="left"/>
    </xf>
    <xf numFmtId="0" fontId="2" fillId="0" borderId="0" xfId="8" applyBorder="1"/>
    <xf numFmtId="0" fontId="2" fillId="0" borderId="0" xfId="8" applyBorder="1" applyAlignment="1"/>
    <xf numFmtId="0" fontId="20" fillId="0" borderId="0" xfId="8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11" fillId="2" borderId="2" xfId="8" applyFont="1" applyFill="1" applyBorder="1" applyAlignment="1">
      <alignment horizontal="right" vertical="center" wrapText="1"/>
    </xf>
    <xf numFmtId="0" fontId="11" fillId="0" borderId="0" xfId="8" applyFont="1" applyBorder="1" applyAlignment="1">
      <alignment wrapText="1"/>
    </xf>
    <xf numFmtId="0" fontId="23" fillId="0" borderId="0" xfId="8" applyFont="1" applyAlignment="1">
      <alignment wrapText="1"/>
    </xf>
    <xf numFmtId="0" fontId="14" fillId="0" borderId="0" xfId="8" applyFont="1" applyBorder="1"/>
    <xf numFmtId="0" fontId="27" fillId="0" borderId="0" xfId="0" applyFont="1"/>
    <xf numFmtId="0" fontId="28" fillId="0" borderId="0" xfId="8" applyFont="1" applyFill="1" applyBorder="1"/>
    <xf numFmtId="0" fontId="4" fillId="0" borderId="1" xfId="8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2" borderId="29" xfId="0" applyFill="1" applyBorder="1" applyAlignment="1">
      <alignment horizontal="right"/>
    </xf>
    <xf numFmtId="0" fontId="0" fillId="12" borderId="30" xfId="0" applyFill="1" applyBorder="1" applyAlignment="1">
      <alignment horizontal="left" vertical="center"/>
    </xf>
    <xf numFmtId="0" fontId="0" fillId="12" borderId="2" xfId="0" applyFill="1" applyBorder="1" applyAlignment="1">
      <alignment horizontal="right"/>
    </xf>
    <xf numFmtId="0" fontId="0" fillId="12" borderId="8" xfId="0" applyFill="1" applyBorder="1" applyAlignment="1">
      <alignment horizontal="left" vertical="center"/>
    </xf>
    <xf numFmtId="0" fontId="0" fillId="12" borderId="3" xfId="0" applyFill="1" applyBorder="1" applyAlignment="1">
      <alignment horizontal="right"/>
    </xf>
    <xf numFmtId="0" fontId="0" fillId="12" borderId="31" xfId="0" applyFill="1" applyBorder="1" applyAlignment="1">
      <alignment horizontal="left" vertical="center"/>
    </xf>
    <xf numFmtId="0" fontId="8" fillId="2" borderId="2" xfId="8" applyFont="1" applyFill="1" applyBorder="1" applyAlignment="1">
      <alignment horizontal="right" vertical="center"/>
    </xf>
    <xf numFmtId="171" fontId="4" fillId="0" borderId="0" xfId="13" applyNumberFormat="1" applyFont="1" applyBorder="1"/>
    <xf numFmtId="171" fontId="5" fillId="0" borderId="0" xfId="13" applyNumberFormat="1" applyFont="1" applyBorder="1"/>
    <xf numFmtId="171" fontId="11" fillId="0" borderId="0" xfId="13" applyNumberFormat="1" applyFont="1" applyBorder="1" applyAlignment="1">
      <alignment wrapText="1"/>
    </xf>
    <xf numFmtId="171" fontId="5" fillId="0" borderId="0" xfId="13" applyNumberFormat="1" applyFont="1" applyFill="1" applyBorder="1"/>
    <xf numFmtId="171" fontId="15" fillId="0" borderId="0" xfId="13" applyNumberFormat="1" applyFont="1" applyFill="1" applyBorder="1"/>
    <xf numFmtId="171" fontId="4" fillId="0" borderId="0" xfId="13" applyNumberFormat="1" applyFont="1" applyFill="1" applyBorder="1"/>
    <xf numFmtId="171" fontId="4" fillId="0" borderId="0" xfId="13" applyNumberFormat="1" applyFont="1" applyBorder="1" applyAlignment="1">
      <alignment horizontal="center" vertical="center"/>
    </xf>
    <xf numFmtId="171" fontId="5" fillId="0" borderId="0" xfId="13" applyNumberFormat="1" applyFont="1" applyBorder="1" applyAlignment="1">
      <alignment horizontal="center" vertical="center"/>
    </xf>
    <xf numFmtId="171" fontId="5" fillId="0" borderId="1" xfId="13" applyNumberFormat="1" applyFont="1" applyBorder="1" applyAlignment="1">
      <alignment horizontal="center" vertical="center"/>
    </xf>
    <xf numFmtId="171" fontId="5" fillId="0" borderId="1" xfId="13" applyNumberFormat="1" applyFont="1" applyBorder="1"/>
    <xf numFmtId="0" fontId="0" fillId="0" borderId="1" xfId="0" applyBorder="1"/>
    <xf numFmtId="0" fontId="0" fillId="0" borderId="9" xfId="0" applyBorder="1"/>
    <xf numFmtId="0" fontId="27" fillId="0" borderId="32" xfId="0" applyFont="1" applyBorder="1" applyAlignment="1">
      <alignment horizontal="center" vertical="center"/>
    </xf>
    <xf numFmtId="0" fontId="27" fillId="0" borderId="33" xfId="0" applyFont="1" applyBorder="1" applyAlignment="1">
      <alignment horizontal="center" vertical="center"/>
    </xf>
    <xf numFmtId="0" fontId="30" fillId="12" borderId="0" xfId="8" applyFont="1" applyFill="1" applyBorder="1" applyAlignment="1">
      <alignment vertical="center"/>
    </xf>
    <xf numFmtId="0" fontId="31" fillId="12" borderId="0" xfId="8" applyFont="1" applyFill="1" applyBorder="1" applyAlignment="1">
      <alignment vertical="center"/>
    </xf>
    <xf numFmtId="0" fontId="32" fillId="12" borderId="0" xfId="8" applyFont="1" applyFill="1" applyBorder="1" applyAlignment="1">
      <alignment vertical="center" wrapText="1"/>
    </xf>
    <xf numFmtId="10" fontId="33" fillId="0" borderId="1" xfId="8" applyNumberFormat="1" applyFont="1" applyFill="1" applyBorder="1" applyAlignment="1">
      <alignment horizontal="center" vertical="center"/>
    </xf>
    <xf numFmtId="165" fontId="33" fillId="0" borderId="1" xfId="13" applyFont="1" applyFill="1" applyBorder="1" applyAlignment="1">
      <alignment horizontal="center" vertical="center"/>
    </xf>
    <xf numFmtId="49" fontId="33" fillId="0" borderId="1" xfId="8" applyNumberFormat="1" applyFont="1" applyFill="1" applyBorder="1" applyAlignment="1">
      <alignment horizontal="center" vertical="center"/>
    </xf>
    <xf numFmtId="2" fontId="33" fillId="0" borderId="1" xfId="8" applyNumberFormat="1" applyFont="1" applyFill="1" applyBorder="1" applyAlignment="1">
      <alignment horizontal="center" vertical="center"/>
    </xf>
    <xf numFmtId="4" fontId="33" fillId="0" borderId="1" xfId="8" applyNumberFormat="1" applyFont="1" applyFill="1" applyBorder="1" applyAlignment="1">
      <alignment horizontal="center" vertical="center"/>
    </xf>
    <xf numFmtId="0" fontId="33" fillId="0" borderId="1" xfId="8" applyFont="1" applyFill="1" applyBorder="1" applyAlignment="1">
      <alignment horizontal="center" vertical="center"/>
    </xf>
    <xf numFmtId="0" fontId="5" fillId="0" borderId="0" xfId="8" applyFont="1" applyBorder="1" applyAlignment="1">
      <alignment horizontal="left" vertical="center"/>
    </xf>
    <xf numFmtId="49" fontId="4" fillId="0" borderId="1" xfId="12" applyNumberFormat="1" applyFont="1" applyBorder="1" applyAlignment="1">
      <alignment horizontal="left" vertical="center" wrapText="1"/>
    </xf>
    <xf numFmtId="0" fontId="5" fillId="0" borderId="0" xfId="8" applyFont="1" applyBorder="1" applyAlignment="1">
      <alignment horizontal="left"/>
    </xf>
    <xf numFmtId="170" fontId="2" fillId="0" borderId="1" xfId="8" applyNumberFormat="1" applyBorder="1" applyAlignment="1">
      <alignment horizontal="center" vertical="center"/>
    </xf>
    <xf numFmtId="0" fontId="8" fillId="2" borderId="2" xfId="8" applyFont="1" applyFill="1" applyBorder="1" applyAlignment="1">
      <alignment horizontal="right" vertical="center"/>
    </xf>
    <xf numFmtId="0" fontId="8" fillId="2" borderId="2" xfId="8" applyFont="1" applyFill="1" applyBorder="1" applyAlignment="1">
      <alignment horizontal="right" vertical="center"/>
    </xf>
    <xf numFmtId="0" fontId="8" fillId="10" borderId="10" xfId="8" applyFont="1" applyFill="1" applyBorder="1" applyAlignment="1">
      <alignment horizontal="center" vertical="center"/>
    </xf>
    <xf numFmtId="10" fontId="35" fillId="12" borderId="1" xfId="1" applyNumberFormat="1" applyFont="1" applyFill="1" applyBorder="1" applyAlignment="1" applyProtection="1">
      <alignment horizontal="center" vertical="center"/>
    </xf>
    <xf numFmtId="10" fontId="34" fillId="12" borderId="1" xfId="12" applyNumberFormat="1" applyFont="1" applyFill="1" applyBorder="1" applyAlignment="1" applyProtection="1">
      <alignment horizontal="center" vertical="center"/>
      <protection hidden="1"/>
    </xf>
    <xf numFmtId="0" fontId="35" fillId="15" borderId="1" xfId="8" applyFont="1" applyFill="1" applyBorder="1" applyAlignment="1" applyProtection="1">
      <alignment horizontal="right" vertical="center"/>
    </xf>
    <xf numFmtId="0" fontId="35" fillId="15" borderId="9" xfId="8" applyFont="1" applyFill="1" applyBorder="1" applyAlignment="1" applyProtection="1">
      <alignment horizontal="right" vertical="center"/>
    </xf>
    <xf numFmtId="0" fontId="35" fillId="15" borderId="32" xfId="8" applyFont="1" applyFill="1" applyBorder="1" applyAlignment="1" applyProtection="1">
      <alignment horizontal="right" vertical="center"/>
    </xf>
    <xf numFmtId="168" fontId="4" fillId="0" borderId="1" xfId="8" applyNumberFormat="1" applyFont="1" applyFill="1" applyBorder="1" applyAlignment="1">
      <alignment horizontal="center" vertical="center"/>
    </xf>
    <xf numFmtId="4" fontId="5" fillId="0" borderId="1" xfId="8" applyNumberFormat="1" applyFont="1" applyBorder="1" applyAlignment="1">
      <alignment horizontal="center" vertical="center"/>
    </xf>
    <xf numFmtId="49" fontId="9" fillId="3" borderId="35" xfId="8" applyNumberFormat="1" applyFont="1" applyFill="1" applyBorder="1" applyAlignment="1">
      <alignment horizontal="right" vertical="center"/>
    </xf>
    <xf numFmtId="49" fontId="9" fillId="3" borderId="4" xfId="8" applyNumberFormat="1" applyFont="1" applyFill="1" applyBorder="1" applyAlignment="1">
      <alignment horizontal="right" vertical="center"/>
    </xf>
    <xf numFmtId="0" fontId="33" fillId="0" borderId="1" xfId="8" applyFont="1" applyFill="1" applyBorder="1" applyAlignment="1">
      <alignment horizontal="left" vertical="center"/>
    </xf>
    <xf numFmtId="0" fontId="33" fillId="0" borderId="1" xfId="8" applyFont="1" applyFill="1" applyBorder="1" applyAlignment="1">
      <alignment horizontal="left" vertical="center" wrapText="1"/>
    </xf>
    <xf numFmtId="0" fontId="8" fillId="0" borderId="10" xfId="8" applyFont="1" applyFill="1" applyBorder="1" applyAlignment="1">
      <alignment horizontal="right" vertical="center"/>
    </xf>
    <xf numFmtId="0" fontId="11" fillId="2" borderId="10" xfId="8" applyFont="1" applyFill="1" applyBorder="1" applyAlignment="1">
      <alignment horizontal="right" vertical="center" wrapText="1"/>
    </xf>
    <xf numFmtId="0" fontId="8" fillId="2" borderId="10" xfId="8" applyFont="1" applyFill="1" applyBorder="1" applyAlignment="1">
      <alignment horizontal="right" vertical="center"/>
    </xf>
    <xf numFmtId="0" fontId="8" fillId="13" borderId="2" xfId="8" applyFont="1" applyFill="1" applyBorder="1" applyAlignment="1">
      <alignment horizontal="right" vertical="center"/>
    </xf>
    <xf numFmtId="0" fontId="35" fillId="15" borderId="20" xfId="8" applyFont="1" applyFill="1" applyBorder="1" applyAlignment="1" applyProtection="1">
      <alignment horizontal="right" vertical="center"/>
    </xf>
    <xf numFmtId="10" fontId="35" fillId="12" borderId="9" xfId="1" applyNumberFormat="1" applyFont="1" applyFill="1" applyBorder="1" applyAlignment="1" applyProtection="1">
      <alignment horizontal="center" vertical="center"/>
    </xf>
    <xf numFmtId="0" fontId="35" fillId="0" borderId="0" xfId="8" applyFont="1" applyFill="1" applyBorder="1" applyAlignment="1">
      <alignment horizontal="center" vertical="center"/>
    </xf>
    <xf numFmtId="0" fontId="35" fillId="0" borderId="1" xfId="8" applyFont="1" applyFill="1" applyBorder="1" applyAlignment="1">
      <alignment horizontal="right" vertical="center"/>
    </xf>
    <xf numFmtId="44" fontId="34" fillId="12" borderId="1" xfId="20" applyFont="1" applyFill="1" applyBorder="1" applyAlignment="1" applyProtection="1">
      <alignment horizontal="center" vertical="center"/>
      <protection hidden="1"/>
    </xf>
    <xf numFmtId="44" fontId="34" fillId="12" borderId="9" xfId="20" applyFont="1" applyFill="1" applyBorder="1" applyAlignment="1" applyProtection="1">
      <alignment horizontal="center" vertical="center"/>
      <protection hidden="1"/>
    </xf>
    <xf numFmtId="44" fontId="34" fillId="13" borderId="20" xfId="20" applyFont="1" applyFill="1" applyBorder="1" applyAlignment="1" applyProtection="1">
      <alignment horizontal="center" vertical="center"/>
      <protection hidden="1"/>
    </xf>
    <xf numFmtId="0" fontId="36" fillId="12" borderId="0" xfId="8" applyFont="1" applyFill="1" applyBorder="1" applyAlignment="1">
      <alignment horizontal="center" vertical="center"/>
    </xf>
    <xf numFmtId="0" fontId="35" fillId="2" borderId="2" xfId="8" applyFont="1" applyFill="1" applyBorder="1" applyAlignment="1">
      <alignment horizontal="center" vertical="center"/>
    </xf>
    <xf numFmtId="171" fontId="35" fillId="0" borderId="0" xfId="13" applyNumberFormat="1" applyFont="1" applyFill="1" applyBorder="1" applyAlignment="1">
      <alignment horizontal="center" vertical="center"/>
    </xf>
    <xf numFmtId="0" fontId="33" fillId="10" borderId="1" xfId="8" applyFont="1" applyFill="1" applyBorder="1" applyAlignment="1">
      <alignment horizontal="center" vertical="center" wrapText="1"/>
    </xf>
    <xf numFmtId="44" fontId="35" fillId="13" borderId="1" xfId="20" applyFont="1" applyFill="1" applyBorder="1" applyAlignment="1">
      <alignment vertical="center"/>
    </xf>
    <xf numFmtId="44" fontId="34" fillId="12" borderId="32" xfId="20" applyFont="1" applyFill="1" applyBorder="1" applyAlignment="1" applyProtection="1">
      <alignment horizontal="center" vertical="center"/>
    </xf>
    <xf numFmtId="9" fontId="34" fillId="12" borderId="32" xfId="12" applyFont="1" applyFill="1" applyBorder="1" applyAlignment="1" applyProtection="1">
      <alignment horizontal="center" vertical="center"/>
    </xf>
    <xf numFmtId="0" fontId="35" fillId="15" borderId="29" xfId="8" applyFont="1" applyFill="1" applyBorder="1" applyAlignment="1" applyProtection="1">
      <alignment horizontal="right" vertical="center"/>
    </xf>
    <xf numFmtId="44" fontId="35" fillId="13" borderId="39" xfId="20" applyFont="1" applyFill="1" applyBorder="1" applyAlignment="1">
      <alignment horizontal="center" vertical="center"/>
    </xf>
    <xf numFmtId="44" fontId="35" fillId="13" borderId="30" xfId="20" applyFont="1" applyFill="1" applyBorder="1" applyAlignment="1">
      <alignment horizontal="center" vertical="center"/>
    </xf>
    <xf numFmtId="0" fontId="35" fillId="15" borderId="2" xfId="8" applyFont="1" applyFill="1" applyBorder="1" applyAlignment="1" applyProtection="1">
      <alignment horizontal="right" vertical="center"/>
    </xf>
    <xf numFmtId="0" fontId="35" fillId="15" borderId="3" xfId="8" applyFont="1" applyFill="1" applyBorder="1" applyAlignment="1" applyProtection="1">
      <alignment horizontal="right" vertical="center"/>
    </xf>
    <xf numFmtId="44" fontId="35" fillId="13" borderId="40" xfId="20" applyFont="1" applyFill="1" applyBorder="1" applyAlignment="1">
      <alignment horizontal="center" vertical="center"/>
    </xf>
    <xf numFmtId="44" fontId="35" fillId="13" borderId="31" xfId="20" applyFont="1" applyFill="1" applyBorder="1" applyAlignment="1">
      <alignment horizontal="center" vertical="center"/>
    </xf>
    <xf numFmtId="44" fontId="34" fillId="16" borderId="34" xfId="20" applyFont="1" applyFill="1" applyBorder="1" applyAlignment="1" applyProtection="1">
      <alignment horizontal="center" vertical="center"/>
      <protection hidden="1"/>
    </xf>
    <xf numFmtId="9" fontId="34" fillId="16" borderId="34" xfId="12" applyFont="1" applyFill="1" applyBorder="1" applyAlignment="1" applyProtection="1">
      <alignment horizontal="center" vertical="center"/>
    </xf>
    <xf numFmtId="9" fontId="34" fillId="16" borderId="33" xfId="12" applyFont="1" applyFill="1" applyBorder="1" applyAlignment="1" applyProtection="1">
      <alignment horizontal="center" vertical="center"/>
    </xf>
    <xf numFmtId="44" fontId="34" fillId="16" borderId="33" xfId="20" applyFont="1" applyFill="1" applyBorder="1" applyAlignment="1" applyProtection="1">
      <alignment horizontal="center" vertical="center"/>
      <protection hidden="1"/>
    </xf>
    <xf numFmtId="44" fontId="35" fillId="16" borderId="1" xfId="20" applyFont="1" applyFill="1" applyBorder="1" applyAlignment="1">
      <alignment vertical="center"/>
    </xf>
    <xf numFmtId="44" fontId="35" fillId="16" borderId="8" xfId="20" applyFont="1" applyFill="1" applyBorder="1" applyAlignment="1">
      <alignment vertical="center"/>
    </xf>
    <xf numFmtId="0" fontId="10" fillId="7" borderId="8" xfId="8" applyFont="1" applyFill="1" applyBorder="1" applyAlignment="1">
      <alignment horizontal="center" vertical="center"/>
    </xf>
    <xf numFmtId="168" fontId="35" fillId="12" borderId="1" xfId="8" applyNumberFormat="1" applyFont="1" applyFill="1" applyBorder="1" applyAlignment="1">
      <alignment horizontal="center" vertical="center"/>
    </xf>
    <xf numFmtId="0" fontId="27" fillId="0" borderId="0" xfId="0" applyFont="1" applyBorder="1"/>
    <xf numFmtId="0" fontId="0" fillId="0" borderId="0" xfId="0" applyBorder="1"/>
    <xf numFmtId="0" fontId="2" fillId="0" borderId="1" xfId="0" applyFont="1" applyBorder="1" applyAlignment="1">
      <alignment horizontal="center"/>
    </xf>
    <xf numFmtId="0" fontId="0" fillId="0" borderId="1" xfId="0" applyFont="1" applyBorder="1"/>
    <xf numFmtId="0" fontId="2" fillId="0" borderId="1" xfId="0" applyFont="1" applyFill="1" applyBorder="1" applyAlignment="1">
      <alignment horizontal="center"/>
    </xf>
    <xf numFmtId="0" fontId="0" fillId="0" borderId="1" xfId="0" applyFont="1" applyFill="1" applyBorder="1"/>
    <xf numFmtId="0" fontId="0" fillId="0" borderId="1" xfId="0" applyFill="1" applyBorder="1"/>
    <xf numFmtId="10" fontId="37" fillId="0" borderId="1" xfId="8" applyNumberFormat="1" applyFont="1" applyFill="1" applyBorder="1" applyAlignment="1">
      <alignment horizontal="center" vertical="center"/>
    </xf>
    <xf numFmtId="165" fontId="37" fillId="0" borderId="1" xfId="13" applyFont="1" applyFill="1" applyBorder="1" applyAlignment="1">
      <alignment horizontal="center" vertical="center"/>
    </xf>
    <xf numFmtId="49" fontId="37" fillId="0" borderId="1" xfId="8" applyNumberFormat="1" applyFont="1" applyFill="1" applyBorder="1" applyAlignment="1">
      <alignment horizontal="center" vertical="center"/>
    </xf>
    <xf numFmtId="2" fontId="37" fillId="0" borderId="1" xfId="8" applyNumberFormat="1" applyFont="1" applyFill="1" applyBorder="1" applyAlignment="1">
      <alignment horizontal="center" vertical="center"/>
    </xf>
    <xf numFmtId="4" fontId="37" fillId="0" borderId="1" xfId="8" applyNumberFormat="1" applyFont="1" applyFill="1" applyBorder="1" applyAlignment="1">
      <alignment horizontal="center" vertical="center"/>
    </xf>
    <xf numFmtId="0" fontId="37" fillId="0" borderId="1" xfId="8" applyFont="1" applyFill="1" applyBorder="1" applyAlignment="1">
      <alignment horizontal="center" vertical="center"/>
    </xf>
    <xf numFmtId="0" fontId="37" fillId="0" borderId="1" xfId="8" applyFont="1" applyFill="1" applyBorder="1" applyAlignment="1">
      <alignment horizontal="center" vertical="center" wrapText="1"/>
    </xf>
    <xf numFmtId="0" fontId="2" fillId="17" borderId="1" xfId="0" applyFont="1" applyFill="1" applyBorder="1" applyAlignment="1">
      <alignment horizontal="left"/>
    </xf>
    <xf numFmtId="0" fontId="0" fillId="17" borderId="1" xfId="0" applyFill="1" applyBorder="1"/>
    <xf numFmtId="0" fontId="2" fillId="11" borderId="1" xfId="0" applyFont="1" applyFill="1" applyBorder="1" applyAlignment="1">
      <alignment horizontal="left"/>
    </xf>
    <xf numFmtId="44" fontId="0" fillId="0" borderId="1" xfId="20" applyFont="1" applyBorder="1"/>
    <xf numFmtId="0" fontId="39" fillId="18" borderId="1" xfId="0" applyFont="1" applyFill="1" applyBorder="1" applyAlignment="1">
      <alignment horizontal="left" vertical="center"/>
    </xf>
    <xf numFmtId="0" fontId="38" fillId="0" borderId="1" xfId="0" applyFont="1" applyFill="1" applyBorder="1" applyAlignment="1">
      <alignment horizontal="left" vertical="center"/>
    </xf>
    <xf numFmtId="164" fontId="38" fillId="0" borderId="1" xfId="20" applyNumberFormat="1" applyFont="1" applyFill="1" applyBorder="1" applyAlignment="1">
      <alignment horizontal="center" vertical="center"/>
    </xf>
    <xf numFmtId="173" fontId="38" fillId="0" borderId="1" xfId="0" applyNumberFormat="1" applyFont="1" applyFill="1" applyBorder="1" applyAlignment="1">
      <alignment horizontal="right" vertical="center"/>
    </xf>
    <xf numFmtId="2" fontId="38" fillId="0" borderId="1" xfId="20" applyNumberFormat="1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44" fontId="0" fillId="12" borderId="1" xfId="0" applyNumberFormat="1" applyFill="1" applyBorder="1"/>
    <xf numFmtId="174" fontId="0" fillId="12" borderId="1" xfId="0" applyNumberFormat="1" applyFill="1" applyBorder="1"/>
    <xf numFmtId="43" fontId="0" fillId="12" borderId="1" xfId="0" applyNumberFormat="1" applyFill="1" applyBorder="1"/>
    <xf numFmtId="44" fontId="0" fillId="12" borderId="1" xfId="20" applyFont="1" applyFill="1" applyBorder="1"/>
    <xf numFmtId="172" fontId="37" fillId="12" borderId="1" xfId="12" applyNumberFormat="1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 vertical="center"/>
    </xf>
    <xf numFmtId="3" fontId="35" fillId="7" borderId="37" xfId="8" applyNumberFormat="1" applyFont="1" applyFill="1" applyBorder="1" applyAlignment="1" applyProtection="1">
      <alignment horizontal="center" vertical="center"/>
      <protection hidden="1"/>
    </xf>
    <xf numFmtId="0" fontId="8" fillId="2" borderId="2" xfId="8" applyFont="1" applyFill="1" applyBorder="1" applyAlignment="1">
      <alignment horizontal="right" vertical="center" wrapText="1"/>
    </xf>
    <xf numFmtId="165" fontId="25" fillId="0" borderId="1" xfId="13" applyFont="1" applyBorder="1" applyAlignment="1"/>
    <xf numFmtId="165" fontId="25" fillId="0" borderId="1" xfId="13" applyFont="1" applyFill="1" applyBorder="1" applyAlignment="1"/>
    <xf numFmtId="0" fontId="35" fillId="16" borderId="19" xfId="8" applyFont="1" applyFill="1" applyBorder="1" applyAlignment="1">
      <alignment horizontal="center" vertical="center" wrapText="1"/>
    </xf>
    <xf numFmtId="0" fontId="35" fillId="16" borderId="1" xfId="8" applyFont="1" applyFill="1" applyBorder="1" applyAlignment="1">
      <alignment horizontal="center" vertical="center" wrapText="1"/>
    </xf>
    <xf numFmtId="10" fontId="35" fillId="13" borderId="1" xfId="12" applyNumberFormat="1" applyFont="1" applyFill="1" applyBorder="1" applyAlignment="1" applyProtection="1">
      <alignment horizontal="center" vertical="center" wrapText="1"/>
      <protection hidden="1"/>
    </xf>
    <xf numFmtId="0" fontId="35" fillId="16" borderId="1" xfId="8" applyFont="1" applyFill="1" applyBorder="1" applyAlignment="1" applyProtection="1">
      <alignment vertical="center"/>
    </xf>
    <xf numFmtId="3" fontId="35" fillId="2" borderId="37" xfId="8" applyNumberFormat="1" applyFont="1" applyFill="1" applyBorder="1" applyAlignment="1" applyProtection="1">
      <alignment horizontal="center" vertical="center"/>
      <protection hidden="1"/>
    </xf>
    <xf numFmtId="39" fontId="34" fillId="4" borderId="9" xfId="7" applyNumberFormat="1" applyFont="1" applyFill="1" applyBorder="1" applyAlignment="1" applyProtection="1">
      <alignment horizontal="center" vertical="center"/>
    </xf>
    <xf numFmtId="39" fontId="34" fillId="7" borderId="9" xfId="7" applyNumberFormat="1" applyFont="1" applyFill="1" applyBorder="1" applyAlignment="1">
      <alignment horizontal="center" vertical="center"/>
    </xf>
    <xf numFmtId="39" fontId="34" fillId="7" borderId="1" xfId="7" applyNumberFormat="1" applyFont="1" applyFill="1" applyBorder="1" applyAlignment="1">
      <alignment horizontal="center" vertical="center"/>
    </xf>
    <xf numFmtId="39" fontId="34" fillId="0" borderId="32" xfId="7" applyNumberFormat="1" applyFont="1" applyFill="1" applyBorder="1" applyAlignment="1" applyProtection="1">
      <alignment horizontal="center" vertical="center"/>
    </xf>
    <xf numFmtId="43" fontId="44" fillId="0" borderId="0" xfId="18" applyNumberFormat="1" applyFont="1" applyFill="1" applyBorder="1" applyAlignment="1">
      <alignment horizontal="center"/>
    </xf>
    <xf numFmtId="43" fontId="44" fillId="0" borderId="0" xfId="18" applyNumberFormat="1" applyFont="1" applyFill="1" applyBorder="1"/>
    <xf numFmtId="0" fontId="45" fillId="0" borderId="0" xfId="8" applyFont="1" applyFill="1" applyBorder="1" applyAlignment="1">
      <alignment horizontal="center"/>
    </xf>
    <xf numFmtId="0" fontId="45" fillId="0" borderId="0" xfId="8" applyFont="1" applyFill="1" applyBorder="1"/>
    <xf numFmtId="0" fontId="45" fillId="0" borderId="0" xfId="8" applyFont="1" applyFill="1"/>
    <xf numFmtId="0" fontId="45" fillId="4" borderId="0" xfId="8" applyFont="1" applyFill="1" applyBorder="1" applyAlignment="1">
      <alignment horizontal="center"/>
    </xf>
    <xf numFmtId="0" fontId="45" fillId="4" borderId="0" xfId="8" applyFont="1" applyFill="1" applyBorder="1"/>
    <xf numFmtId="0" fontId="45" fillId="4" borderId="0" xfId="8" applyFont="1" applyFill="1"/>
    <xf numFmtId="0" fontId="35" fillId="16" borderId="1" xfId="8" applyFont="1" applyFill="1" applyBorder="1" applyAlignment="1" applyProtection="1">
      <alignment horizontal="center" vertical="center"/>
    </xf>
    <xf numFmtId="39" fontId="34" fillId="7" borderId="1" xfId="7" applyNumberFormat="1" applyFont="1" applyFill="1" applyBorder="1" applyAlignment="1" applyProtection="1">
      <alignment horizontal="center" vertical="center"/>
    </xf>
    <xf numFmtId="44" fontId="35" fillId="7" borderId="1" xfId="20" applyFont="1" applyFill="1" applyBorder="1" applyAlignment="1">
      <alignment horizontal="center" vertical="center"/>
    </xf>
    <xf numFmtId="44" fontId="34" fillId="7" borderId="34" xfId="20" applyFont="1" applyFill="1" applyBorder="1" applyAlignment="1" applyProtection="1">
      <alignment horizontal="center" vertical="center"/>
      <protection hidden="1"/>
    </xf>
    <xf numFmtId="9" fontId="34" fillId="7" borderId="34" xfId="12" applyFont="1" applyFill="1" applyBorder="1" applyAlignment="1" applyProtection="1">
      <alignment horizontal="center" vertical="center"/>
    </xf>
    <xf numFmtId="0" fontId="35" fillId="7" borderId="1" xfId="8" applyFont="1" applyFill="1" applyBorder="1" applyAlignment="1" applyProtection="1">
      <alignment vertical="center"/>
    </xf>
    <xf numFmtId="0" fontId="35" fillId="7" borderId="1" xfId="8" applyFont="1" applyFill="1" applyBorder="1" applyAlignment="1" applyProtection="1">
      <alignment horizontal="center" vertical="center"/>
    </xf>
    <xf numFmtId="167" fontId="35" fillId="7" borderId="1" xfId="8" applyNumberFormat="1" applyFont="1" applyFill="1" applyBorder="1" applyAlignment="1">
      <alignment horizontal="center" vertical="center" wrapText="1"/>
    </xf>
    <xf numFmtId="9" fontId="35" fillId="7" borderId="1" xfId="8" applyNumberFormat="1" applyFont="1" applyFill="1" applyBorder="1" applyAlignment="1" applyProtection="1">
      <alignment horizontal="center" vertical="center" wrapText="1"/>
    </xf>
    <xf numFmtId="4" fontId="35" fillId="7" borderId="1" xfId="8" applyNumberFormat="1" applyFont="1" applyFill="1" applyBorder="1" applyAlignment="1">
      <alignment horizontal="center" vertical="center" wrapText="1"/>
    </xf>
    <xf numFmtId="0" fontId="35" fillId="7" borderId="1" xfId="8" applyFont="1" applyFill="1" applyBorder="1" applyAlignment="1" applyProtection="1">
      <alignment horizontal="center" vertical="center" wrapText="1"/>
    </xf>
    <xf numFmtId="0" fontId="35" fillId="7" borderId="19" xfId="8" applyFont="1" applyFill="1" applyBorder="1" applyAlignment="1" applyProtection="1">
      <alignment horizontal="center" vertical="center"/>
    </xf>
    <xf numFmtId="3" fontId="35" fillId="7" borderId="36" xfId="18" applyNumberFormat="1" applyFont="1" applyFill="1" applyBorder="1" applyAlignment="1" applyProtection="1">
      <alignment horizontal="center" vertical="center"/>
    </xf>
    <xf numFmtId="3" fontId="35" fillId="7" borderId="9" xfId="18" applyNumberFormat="1" applyFont="1" applyFill="1" applyBorder="1" applyAlignment="1" applyProtection="1">
      <alignment horizontal="center" vertical="center" wrapText="1"/>
    </xf>
    <xf numFmtId="0" fontId="35" fillId="7" borderId="9" xfId="8" applyFont="1" applyFill="1" applyBorder="1" applyAlignment="1">
      <alignment horizontal="center" vertical="center" wrapText="1"/>
    </xf>
    <xf numFmtId="0" fontId="35" fillId="7" borderId="9" xfId="8" applyFont="1" applyFill="1" applyBorder="1" applyAlignment="1" applyProtection="1">
      <alignment horizontal="center" vertical="center" wrapText="1"/>
    </xf>
    <xf numFmtId="0" fontId="35" fillId="7" borderId="19" xfId="8" applyFont="1" applyFill="1" applyBorder="1" applyAlignment="1">
      <alignment horizontal="center" vertical="center" wrapText="1"/>
    </xf>
    <xf numFmtId="0" fontId="35" fillId="7" borderId="1" xfId="8" applyFont="1" applyFill="1" applyBorder="1" applyAlignment="1">
      <alignment horizontal="center" vertical="center" wrapText="1"/>
    </xf>
    <xf numFmtId="0" fontId="8" fillId="7" borderId="1" xfId="8" applyFont="1" applyFill="1" applyBorder="1" applyAlignment="1">
      <alignment horizontal="center" vertical="center" wrapText="1"/>
    </xf>
    <xf numFmtId="0" fontId="8" fillId="7" borderId="1" xfId="8" applyFont="1" applyFill="1" applyBorder="1" applyAlignment="1" applyProtection="1">
      <alignment horizontal="center" vertical="center" wrapText="1"/>
    </xf>
    <xf numFmtId="0" fontId="6" fillId="2" borderId="2" xfId="8" applyFont="1" applyFill="1" applyBorder="1" applyAlignment="1">
      <alignment horizontal="center"/>
    </xf>
    <xf numFmtId="0" fontId="6" fillId="2" borderId="1" xfId="8" applyFont="1" applyFill="1" applyBorder="1" applyAlignment="1">
      <alignment horizontal="center"/>
    </xf>
    <xf numFmtId="0" fontId="6" fillId="2" borderId="8" xfId="8" applyFont="1" applyFill="1" applyBorder="1" applyAlignment="1">
      <alignment horizontal="center"/>
    </xf>
    <xf numFmtId="0" fontId="8" fillId="2" borderId="19" xfId="8" applyFont="1" applyFill="1" applyBorder="1" applyAlignment="1">
      <alignment horizontal="center" vertical="center" wrapText="1"/>
    </xf>
    <xf numFmtId="0" fontId="8" fillId="2" borderId="20" xfId="8" applyFont="1" applyFill="1" applyBorder="1" applyAlignment="1">
      <alignment horizontal="center" vertical="center" wrapText="1"/>
    </xf>
    <xf numFmtId="0" fontId="8" fillId="2" borderId="9" xfId="8" applyFont="1" applyFill="1" applyBorder="1" applyAlignment="1">
      <alignment horizontal="center" vertical="center" wrapText="1"/>
    </xf>
    <xf numFmtId="44" fontId="43" fillId="7" borderId="8" xfId="4" applyFont="1" applyFill="1" applyBorder="1" applyAlignment="1">
      <alignment horizontal="center" vertical="center"/>
    </xf>
    <xf numFmtId="0" fontId="22" fillId="4" borderId="13" xfId="3" applyFill="1" applyBorder="1" applyAlignment="1" applyProtection="1">
      <alignment horizontal="center"/>
    </xf>
    <xf numFmtId="0" fontId="14" fillId="4" borderId="14" xfId="8" applyFont="1" applyFill="1" applyBorder="1" applyAlignment="1">
      <alignment horizontal="center"/>
    </xf>
    <xf numFmtId="0" fontId="14" fillId="4" borderId="15" xfId="8" applyFont="1" applyFill="1" applyBorder="1" applyAlignment="1">
      <alignment horizontal="center"/>
    </xf>
    <xf numFmtId="0" fontId="16" fillId="9" borderId="12" xfId="8" applyFont="1" applyFill="1" applyBorder="1" applyAlignment="1">
      <alignment horizontal="center" vertical="center"/>
    </xf>
    <xf numFmtId="0" fontId="17" fillId="9" borderId="12" xfId="8" applyFont="1" applyFill="1" applyBorder="1" applyAlignment="1">
      <alignment horizontal="center"/>
    </xf>
    <xf numFmtId="0" fontId="2" fillId="0" borderId="5" xfId="8" applyBorder="1" applyAlignment="1">
      <alignment horizontal="center" vertical="center"/>
    </xf>
    <xf numFmtId="0" fontId="2" fillId="0" borderId="6" xfId="8" applyBorder="1" applyAlignment="1">
      <alignment horizontal="center" vertical="center"/>
    </xf>
    <xf numFmtId="0" fontId="2" fillId="0" borderId="7" xfId="8" applyBorder="1" applyAlignment="1">
      <alignment horizontal="center" vertical="center"/>
    </xf>
    <xf numFmtId="49" fontId="35" fillId="7" borderId="10" xfId="8" applyNumberFormat="1" applyFont="1" applyFill="1" applyBorder="1" applyAlignment="1">
      <alignment horizontal="left"/>
    </xf>
    <xf numFmtId="49" fontId="35" fillId="7" borderId="6" xfId="8" applyNumberFormat="1" applyFont="1" applyFill="1" applyBorder="1" applyAlignment="1">
      <alignment horizontal="left"/>
    </xf>
    <xf numFmtId="49" fontId="35" fillId="7" borderId="11" xfId="8" applyNumberFormat="1" applyFont="1" applyFill="1" applyBorder="1" applyAlignment="1">
      <alignment horizontal="left"/>
    </xf>
    <xf numFmtId="0" fontId="35" fillId="7" borderId="10" xfId="8" applyFont="1" applyFill="1" applyBorder="1" applyAlignment="1">
      <alignment horizontal="left" wrapText="1"/>
    </xf>
    <xf numFmtId="0" fontId="35" fillId="7" borderId="6" xfId="8" applyFont="1" applyFill="1" applyBorder="1" applyAlignment="1">
      <alignment horizontal="left" wrapText="1"/>
    </xf>
    <xf numFmtId="0" fontId="35" fillId="7" borderId="11" xfId="8" applyFont="1" applyFill="1" applyBorder="1" applyAlignment="1">
      <alignment horizontal="left" wrapText="1"/>
    </xf>
    <xf numFmtId="0" fontId="35" fillId="7" borderId="5" xfId="8" applyFont="1" applyFill="1" applyBorder="1" applyAlignment="1">
      <alignment horizontal="left" wrapText="1"/>
    </xf>
    <xf numFmtId="0" fontId="35" fillId="7" borderId="6" xfId="8" applyFont="1" applyFill="1" applyBorder="1" applyAlignment="1">
      <alignment horizontal="left"/>
    </xf>
    <xf numFmtId="0" fontId="35" fillId="7" borderId="11" xfId="8" applyFont="1" applyFill="1" applyBorder="1" applyAlignment="1">
      <alignment horizontal="left"/>
    </xf>
    <xf numFmtId="0" fontId="9" fillId="8" borderId="10" xfId="8" applyFont="1" applyFill="1" applyBorder="1" applyAlignment="1">
      <alignment horizontal="center" vertical="center" wrapText="1"/>
    </xf>
    <xf numFmtId="0" fontId="9" fillId="8" borderId="6" xfId="8" applyFont="1" applyFill="1" applyBorder="1" applyAlignment="1">
      <alignment horizontal="center" vertical="center" wrapText="1"/>
    </xf>
    <xf numFmtId="0" fontId="9" fillId="8" borderId="11" xfId="8" applyFont="1" applyFill="1" applyBorder="1" applyAlignment="1">
      <alignment horizontal="center" vertical="center" wrapText="1"/>
    </xf>
    <xf numFmtId="0" fontId="7" fillId="3" borderId="16" xfId="8" applyFont="1" applyFill="1" applyBorder="1" applyAlignment="1">
      <alignment horizontal="center" vertical="center" textRotation="255"/>
    </xf>
    <xf numFmtId="0" fontId="7" fillId="3" borderId="17" xfId="8" applyFont="1" applyFill="1" applyBorder="1" applyAlignment="1">
      <alignment horizontal="center" vertical="center" textRotation="255"/>
    </xf>
    <xf numFmtId="0" fontId="5" fillId="5" borderId="22" xfId="8" applyFont="1" applyFill="1" applyBorder="1" applyAlignment="1">
      <alignment horizontal="center" vertical="center" textRotation="255"/>
    </xf>
    <xf numFmtId="0" fontId="13" fillId="2" borderId="10" xfId="8" applyFont="1" applyFill="1" applyBorder="1" applyAlignment="1">
      <alignment horizontal="center" vertical="center"/>
    </xf>
    <xf numFmtId="0" fontId="13" fillId="2" borderId="6" xfId="8" applyFont="1" applyFill="1" applyBorder="1" applyAlignment="1">
      <alignment horizontal="center" vertical="center"/>
    </xf>
    <xf numFmtId="0" fontId="13" fillId="2" borderId="11" xfId="8" applyFont="1" applyFill="1" applyBorder="1" applyAlignment="1">
      <alignment horizontal="center" vertical="center"/>
    </xf>
    <xf numFmtId="0" fontId="7" fillId="6" borderId="16" xfId="8" applyFont="1" applyFill="1" applyBorder="1" applyAlignment="1">
      <alignment horizontal="center" vertical="center" textRotation="255"/>
    </xf>
    <xf numFmtId="0" fontId="7" fillId="6" borderId="17" xfId="8" applyFont="1" applyFill="1" applyBorder="1" applyAlignment="1">
      <alignment horizontal="center" vertical="center" textRotation="255"/>
    </xf>
    <xf numFmtId="0" fontId="7" fillId="6" borderId="18" xfId="8" applyFont="1" applyFill="1" applyBorder="1" applyAlignment="1">
      <alignment horizontal="center" vertical="center" textRotation="255"/>
    </xf>
    <xf numFmtId="0" fontId="10" fillId="7" borderId="5" xfId="8" applyFont="1" applyFill="1" applyBorder="1" applyAlignment="1">
      <alignment horizontal="center" vertical="center"/>
    </xf>
    <xf numFmtId="0" fontId="10" fillId="7" borderId="6" xfId="8" applyFont="1" applyFill="1" applyBorder="1" applyAlignment="1">
      <alignment horizontal="center" vertical="center"/>
    </xf>
    <xf numFmtId="0" fontId="10" fillId="7" borderId="11" xfId="8" applyFont="1" applyFill="1" applyBorder="1" applyAlignment="1">
      <alignment horizontal="center" vertical="center"/>
    </xf>
    <xf numFmtId="166" fontId="35" fillId="7" borderId="5" xfId="8" applyNumberFormat="1" applyFont="1" applyFill="1" applyBorder="1" applyAlignment="1">
      <alignment horizontal="center" vertical="center"/>
    </xf>
    <xf numFmtId="166" fontId="35" fillId="7" borderId="7" xfId="8" applyNumberFormat="1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center" vertical="center"/>
    </xf>
    <xf numFmtId="0" fontId="35" fillId="7" borderId="6" xfId="8" applyFont="1" applyFill="1" applyBorder="1" applyAlignment="1">
      <alignment horizontal="center" vertical="center"/>
    </xf>
    <xf numFmtId="0" fontId="35" fillId="7" borderId="7" xfId="8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left" vertical="center"/>
    </xf>
    <xf numFmtId="0" fontId="35" fillId="7" borderId="6" xfId="8" applyFont="1" applyFill="1" applyBorder="1" applyAlignment="1">
      <alignment horizontal="left" vertical="center"/>
    </xf>
    <xf numFmtId="0" fontId="35" fillId="7" borderId="7" xfId="8" applyFont="1" applyFill="1" applyBorder="1" applyAlignment="1">
      <alignment horizontal="left" vertical="center"/>
    </xf>
    <xf numFmtId="0" fontId="8" fillId="2" borderId="2" xfId="8" applyFont="1" applyFill="1" applyBorder="1" applyAlignment="1">
      <alignment horizontal="right" vertical="center"/>
    </xf>
    <xf numFmtId="0" fontId="35" fillId="7" borderId="23" xfId="8" applyFont="1" applyFill="1" applyBorder="1" applyAlignment="1" applyProtection="1">
      <alignment horizontal="left" vertical="center" wrapText="1"/>
      <protection locked="0"/>
    </xf>
    <xf numFmtId="0" fontId="35" fillId="7" borderId="24" xfId="8" applyFont="1" applyFill="1" applyBorder="1" applyAlignment="1" applyProtection="1">
      <alignment horizontal="left" vertical="center"/>
      <protection locked="0"/>
    </xf>
    <xf numFmtId="0" fontId="35" fillId="7" borderId="25" xfId="8" applyFont="1" applyFill="1" applyBorder="1" applyAlignment="1" applyProtection="1">
      <alignment horizontal="left" vertical="center"/>
      <protection locked="0"/>
    </xf>
    <xf numFmtId="0" fontId="35" fillId="7" borderId="21" xfId="8" applyFont="1" applyFill="1" applyBorder="1" applyAlignment="1" applyProtection="1">
      <alignment horizontal="left" vertical="center"/>
      <protection locked="0"/>
    </xf>
    <xf numFmtId="0" fontId="35" fillId="7" borderId="12" xfId="8" applyFont="1" applyFill="1" applyBorder="1" applyAlignment="1" applyProtection="1">
      <alignment horizontal="left" vertical="center"/>
      <protection locked="0"/>
    </xf>
    <xf numFmtId="0" fontId="35" fillId="7" borderId="26" xfId="8" applyFont="1" applyFill="1" applyBorder="1" applyAlignment="1" applyProtection="1">
      <alignment horizontal="left" vertical="center"/>
      <protection locked="0"/>
    </xf>
    <xf numFmtId="0" fontId="35" fillId="7" borderId="1" xfId="8" applyFont="1" applyFill="1" applyBorder="1" applyAlignment="1">
      <alignment horizontal="left" vertical="center"/>
    </xf>
    <xf numFmtId="0" fontId="35" fillId="7" borderId="8" xfId="8" applyFont="1" applyFill="1" applyBorder="1" applyAlignment="1">
      <alignment horizontal="left" vertical="center"/>
    </xf>
    <xf numFmtId="0" fontId="9" fillId="14" borderId="10" xfId="8" applyFont="1" applyFill="1" applyBorder="1" applyAlignment="1">
      <alignment horizontal="center" vertical="center" wrapText="1"/>
    </xf>
    <xf numFmtId="0" fontId="9" fillId="14" borderId="6" xfId="8" applyFont="1" applyFill="1" applyBorder="1" applyAlignment="1">
      <alignment horizontal="center" vertical="center" wrapText="1"/>
    </xf>
    <xf numFmtId="0" fontId="9" fillId="14" borderId="11" xfId="8" applyFont="1" applyFill="1" applyBorder="1" applyAlignment="1">
      <alignment horizontal="center" vertical="center" wrapText="1"/>
    </xf>
    <xf numFmtId="0" fontId="35" fillId="7" borderId="24" xfId="8" applyFont="1" applyFill="1" applyBorder="1" applyAlignment="1">
      <alignment horizontal="left" wrapText="1"/>
    </xf>
    <xf numFmtId="0" fontId="35" fillId="7" borderId="38" xfId="8" applyFont="1" applyFill="1" applyBorder="1" applyAlignment="1">
      <alignment horizontal="left" wrapText="1"/>
    </xf>
    <xf numFmtId="0" fontId="27" fillId="10" borderId="27" xfId="0" applyFont="1" applyFill="1" applyBorder="1" applyAlignment="1">
      <alignment horizontal="center"/>
    </xf>
    <xf numFmtId="0" fontId="27" fillId="10" borderId="28" xfId="0" applyFont="1" applyFill="1" applyBorder="1" applyAlignment="1">
      <alignment horizontal="center"/>
    </xf>
    <xf numFmtId="0" fontId="29" fillId="11" borderId="27" xfId="0" applyFont="1" applyFill="1" applyBorder="1" applyAlignment="1">
      <alignment horizontal="center"/>
    </xf>
    <xf numFmtId="0" fontId="29" fillId="11" borderId="28" xfId="0" applyFont="1" applyFill="1" applyBorder="1" applyAlignment="1">
      <alignment horizontal="center"/>
    </xf>
    <xf numFmtId="164" fontId="38" fillId="0" borderId="1" xfId="20" applyNumberFormat="1" applyFont="1" applyFill="1" applyBorder="1" applyAlignment="1">
      <alignment horizontal="center" vertical="center"/>
    </xf>
    <xf numFmtId="0" fontId="40" fillId="0" borderId="5" xfId="0" applyFont="1" applyFill="1" applyBorder="1" applyAlignment="1">
      <alignment horizontal="center" vertical="center"/>
    </xf>
    <xf numFmtId="0" fontId="40" fillId="0" borderId="6" xfId="0" applyFont="1" applyFill="1" applyBorder="1" applyAlignment="1">
      <alignment horizontal="center" vertical="center"/>
    </xf>
    <xf numFmtId="0" fontId="40" fillId="0" borderId="7" xfId="0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/>
    </xf>
  </cellXfs>
  <cellStyles count="21">
    <cellStyle name="Hiperlink 2" xfId="2"/>
    <cellStyle name="Hyperlink" xfId="3" builtinId="8"/>
    <cellStyle name="Moeda" xfId="20" builtinId="4"/>
    <cellStyle name="Moeda 2" xfId="4"/>
    <cellStyle name="Moeda 2 2" xfId="5"/>
    <cellStyle name="Moeda 3" xfId="6"/>
    <cellStyle name="Moeda_Pedido de Orçamento Roberto 2" xfId="7"/>
    <cellStyle name="NívelCol_1" xfId="1" builtinId="2" iLevel="0"/>
    <cellStyle name="Normal" xfId="0" builtinId="0"/>
    <cellStyle name="Normal 2" xfId="8"/>
    <cellStyle name="Normal 2 2" xfId="9"/>
    <cellStyle name="Normal 3" xfId="10"/>
    <cellStyle name="Normal 4" xfId="11"/>
    <cellStyle name="Porcentagem" xfId="12" builtinId="5"/>
    <cellStyle name="Separador de milhares" xfId="13" builtinId="3"/>
    <cellStyle name="Separador de milhares 2" xfId="14"/>
    <cellStyle name="Separador de milhares 2 2" xfId="15"/>
    <cellStyle name="Separador de milhares 2 2 2" xfId="16"/>
    <cellStyle name="Separador de milhares 2 3" xfId="17"/>
    <cellStyle name="Separador de milhares_Pedido de Orçamento Roberto_ORCAMENTO_VENDAS_VDS - 001-150 2" xfId="18"/>
    <cellStyle name="Vírgula 2" xfId="19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99FF66"/>
      <color rgb="FFFFFF99"/>
      <color rgb="FF99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95250</xdr:rowOff>
    </xdr:from>
    <xdr:to>
      <xdr:col>2</xdr:col>
      <xdr:colOff>895350</xdr:colOff>
      <xdr:row>0</xdr:row>
      <xdr:rowOff>647700</xdr:rowOff>
    </xdr:to>
    <xdr:pic>
      <xdr:nvPicPr>
        <xdr:cNvPr id="2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47725" y="95250"/>
          <a:ext cx="3829050" cy="552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AppData/AppData/AppData/AppData/AppData/AppData/AppData/AppData/AppData/AppData/AppData/AppData/AppData/Roaming/Microsoft/Excel/dbOrcamentos-v03_121112-1515.mdb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87">
    <tabColor indexed="13"/>
    <pageSetUpPr fitToPage="1"/>
  </sheetPr>
  <dimension ref="A1:IR1048509"/>
  <sheetViews>
    <sheetView showGridLines="0" tabSelected="1" zoomScale="55" zoomScaleNormal="55" zoomScaleSheetLayoutView="85" workbookViewId="0">
      <selection activeCell="C4" sqref="C4:E4"/>
    </sheetView>
  </sheetViews>
  <sheetFormatPr defaultColWidth="9.140625" defaultRowHeight="15.75"/>
  <cols>
    <col min="1" max="1" width="12.140625" style="3" bestFit="1" customWidth="1"/>
    <col min="2" max="2" width="57.42578125" style="3" customWidth="1"/>
    <col min="3" max="4" width="31.140625" style="19" customWidth="1"/>
    <col min="5" max="6" width="31.140625" style="3" customWidth="1"/>
    <col min="7" max="10" width="31.140625" style="13" customWidth="1"/>
    <col min="11" max="11" width="7.140625" style="59" bestFit="1" customWidth="1"/>
    <col min="12" max="12" width="45.28515625" style="3" bestFit="1" customWidth="1"/>
    <col min="13" max="13" width="8.140625" style="3" customWidth="1"/>
    <col min="14" max="14" width="12.85546875" style="3" bestFit="1" customWidth="1"/>
    <col min="15" max="15" width="13.5703125" style="3" customWidth="1"/>
    <col min="16" max="16" width="8.7109375" style="3" bestFit="1" customWidth="1"/>
    <col min="17" max="17" width="11.7109375" style="3" bestFit="1" customWidth="1"/>
    <col min="18" max="18" width="9.140625" style="3" customWidth="1"/>
    <col min="19" max="19" width="14.85546875" style="3" bestFit="1" customWidth="1"/>
    <col min="20" max="20" width="6.85546875" style="3" bestFit="1" customWidth="1"/>
    <col min="21" max="21" width="9.140625" style="3" customWidth="1"/>
    <col min="22" max="22" width="22.5703125" style="3" bestFit="1" customWidth="1"/>
    <col min="23" max="23" width="24.5703125" style="3" bestFit="1" customWidth="1"/>
    <col min="24" max="28" width="9.140625" style="3" customWidth="1"/>
    <col min="29" max="29" width="12.5703125" style="49" bestFit="1" customWidth="1"/>
    <col min="30" max="30" width="22.140625" style="49" customWidth="1"/>
    <col min="31" max="31" width="12.85546875" style="49" customWidth="1"/>
    <col min="32" max="32" width="12.5703125" style="49" bestFit="1" customWidth="1"/>
    <col min="33" max="33" width="22.140625" style="49" bestFit="1" customWidth="1"/>
    <col min="34" max="34" width="12.85546875" style="49" customWidth="1"/>
    <col min="35" max="35" width="12.5703125" style="49" bestFit="1" customWidth="1"/>
    <col min="36" max="36" width="22.140625" style="49" bestFit="1" customWidth="1"/>
    <col min="37" max="38" width="9.140625" customWidth="1"/>
    <col min="39" max="230" width="9.140625" style="3" customWidth="1"/>
    <col min="231" max="231" width="28.7109375" style="3" customWidth="1"/>
    <col min="232" max="232" width="39.140625" style="3" customWidth="1"/>
    <col min="233" max="235" width="19.7109375" style="3" customWidth="1"/>
    <col min="236" max="236" width="21.5703125" style="3" customWidth="1"/>
    <col min="237" max="239" width="19.7109375" style="3" customWidth="1"/>
    <col min="240" max="240" width="37.85546875" style="3" customWidth="1"/>
    <col min="241" max="241" width="26.85546875" style="3" customWidth="1"/>
    <col min="242" max="242" width="36.7109375" style="3" customWidth="1"/>
    <col min="243" max="243" width="3" style="3" customWidth="1"/>
    <col min="244" max="244" width="30" style="3" customWidth="1"/>
    <col min="245" max="245" width="25.5703125" style="3" customWidth="1"/>
    <col min="246" max="246" width="19.140625" style="3" customWidth="1"/>
    <col min="247" max="247" width="7.28515625" style="3" customWidth="1"/>
    <col min="248" max="248" width="10.85546875" style="3" customWidth="1"/>
    <col min="249" max="249" width="13.5703125" style="3" customWidth="1"/>
    <col min="250" max="250" width="22.85546875" style="3" customWidth="1"/>
    <col min="251" max="251" width="34.7109375" style="3" customWidth="1"/>
    <col min="252" max="252" width="19.7109375" style="3" customWidth="1"/>
    <col min="253" max="16384" width="9.140625" style="3"/>
  </cols>
  <sheetData>
    <row r="1" spans="1:36" s="2" customFormat="1" ht="57" customHeight="1">
      <c r="A1" s="32" t="s">
        <v>1281</v>
      </c>
      <c r="B1" s="196" t="s">
        <v>1280</v>
      </c>
      <c r="C1" s="197"/>
      <c r="D1" s="197"/>
      <c r="E1" s="197"/>
      <c r="F1" s="197"/>
      <c r="G1" s="197"/>
      <c r="H1" s="197"/>
      <c r="I1" s="197"/>
      <c r="J1" s="198"/>
      <c r="K1" s="58"/>
      <c r="L1" s="199" t="s">
        <v>621</v>
      </c>
      <c r="M1" s="199"/>
      <c r="N1" s="199"/>
      <c r="O1" s="3"/>
      <c r="P1" s="1" t="s">
        <v>605</v>
      </c>
      <c r="Q1" s="1"/>
      <c r="S1" s="1" t="s">
        <v>575</v>
      </c>
      <c r="T1" s="1"/>
      <c r="V1" s="200" t="s">
        <v>636</v>
      </c>
      <c r="W1" s="200"/>
      <c r="X1" s="200"/>
      <c r="Y1" s="200"/>
      <c r="Z1" s="200"/>
      <c r="AB1" s="33"/>
      <c r="AC1" s="1" t="s">
        <v>1153</v>
      </c>
      <c r="AD1" s="1"/>
      <c r="AE1" s="44"/>
      <c r="AF1" s="1" t="s">
        <v>1154</v>
      </c>
      <c r="AG1" s="1"/>
      <c r="AH1" s="44"/>
      <c r="AI1" s="1" t="s">
        <v>1155</v>
      </c>
      <c r="AJ1" s="1"/>
    </row>
    <row r="2" spans="1:36" s="2" customFormat="1" ht="21.75" thickBot="1">
      <c r="A2" s="32"/>
      <c r="B2" s="189" t="s">
        <v>573</v>
      </c>
      <c r="C2" s="190"/>
      <c r="D2" s="190"/>
      <c r="E2" s="190"/>
      <c r="F2" s="190"/>
      <c r="G2" s="190"/>
      <c r="H2" s="190"/>
      <c r="I2" s="190"/>
      <c r="J2" s="191"/>
      <c r="K2" s="59"/>
      <c r="L2" s="15" t="s">
        <v>593</v>
      </c>
      <c r="M2" s="15" t="s">
        <v>622</v>
      </c>
      <c r="N2" s="15" t="s">
        <v>623</v>
      </c>
      <c r="O2" s="14"/>
      <c r="P2" s="15" t="s">
        <v>605</v>
      </c>
      <c r="Q2" s="15" t="s">
        <v>632</v>
      </c>
      <c r="S2" s="15" t="s">
        <v>575</v>
      </c>
      <c r="T2" s="15" t="s">
        <v>576</v>
      </c>
      <c r="V2" s="15" t="s">
        <v>637</v>
      </c>
      <c r="W2" s="16" t="s">
        <v>638</v>
      </c>
      <c r="X2" s="17"/>
      <c r="Y2" s="17"/>
      <c r="Z2" s="18"/>
      <c r="AB2"/>
      <c r="AC2" s="15" t="s">
        <v>1156</v>
      </c>
      <c r="AD2" s="15" t="s">
        <v>1157</v>
      </c>
      <c r="AE2" s="50"/>
      <c r="AF2" s="15" t="s">
        <v>1156</v>
      </c>
      <c r="AG2" s="15" t="s">
        <v>1157</v>
      </c>
      <c r="AH2" s="50"/>
      <c r="AI2" s="15" t="s">
        <v>1156</v>
      </c>
      <c r="AJ2" s="15" t="s">
        <v>1157</v>
      </c>
    </row>
    <row r="3" spans="1:36" s="5" customFormat="1" ht="56.25" customHeight="1">
      <c r="A3" s="222" t="s">
        <v>586</v>
      </c>
      <c r="B3" s="43" t="s">
        <v>587</v>
      </c>
      <c r="C3" s="225"/>
      <c r="D3" s="226"/>
      <c r="E3" s="227"/>
      <c r="F3" s="149" t="s">
        <v>1268</v>
      </c>
      <c r="G3" s="228"/>
      <c r="H3" s="229"/>
      <c r="I3" s="4" t="s">
        <v>572</v>
      </c>
      <c r="J3" s="116"/>
      <c r="K3" s="58"/>
      <c r="L3" s="83"/>
      <c r="M3" s="61"/>
      <c r="N3" s="61"/>
      <c r="O3" s="3"/>
      <c r="P3" s="35"/>
      <c r="Q3" s="79"/>
      <c r="S3" s="35"/>
      <c r="T3" s="68"/>
      <c r="V3" s="70"/>
      <c r="W3" s="201"/>
      <c r="X3" s="202"/>
      <c r="Y3" s="202"/>
      <c r="Z3" s="203"/>
      <c r="AB3"/>
      <c r="AC3" s="52"/>
      <c r="AD3" s="52"/>
      <c r="AE3" s="51"/>
      <c r="AF3" s="52"/>
      <c r="AG3" s="52"/>
      <c r="AH3" s="51"/>
      <c r="AI3" s="52"/>
      <c r="AJ3" s="52"/>
    </row>
    <row r="4" spans="1:36" s="5" customFormat="1" ht="42" customHeight="1">
      <c r="A4" s="223"/>
      <c r="B4" s="6" t="s">
        <v>574</v>
      </c>
      <c r="C4" s="230"/>
      <c r="D4" s="231"/>
      <c r="E4" s="232"/>
      <c r="F4" s="149" t="s">
        <v>1189</v>
      </c>
      <c r="G4" s="228"/>
      <c r="H4" s="229"/>
      <c r="I4" s="192" t="s">
        <v>1124</v>
      </c>
      <c r="J4" s="195">
        <v>0</v>
      </c>
      <c r="K4" s="58" t="e">
        <f>IF(VALUE(J4)-SUMIF(C12:J12,"X",#REF!)&gt;0,"OK","N.OK")</f>
        <v>#REF!</v>
      </c>
      <c r="L4" s="83"/>
      <c r="M4" s="61"/>
      <c r="N4" s="62"/>
      <c r="O4" s="3"/>
      <c r="P4" s="35"/>
      <c r="Q4" s="79"/>
      <c r="S4" s="35"/>
      <c r="T4" s="68"/>
      <c r="V4" s="25"/>
      <c r="W4" s="26"/>
      <c r="X4" s="26"/>
      <c r="Y4" s="26"/>
      <c r="Z4" s="26"/>
      <c r="AC4" s="52"/>
      <c r="AD4" s="52"/>
      <c r="AE4" s="51"/>
      <c r="AF4" s="52"/>
      <c r="AG4" s="52"/>
      <c r="AH4" s="51"/>
      <c r="AI4" s="52"/>
      <c r="AJ4" s="52"/>
    </row>
    <row r="5" spans="1:36" s="5" customFormat="1" ht="33.75" customHeight="1">
      <c r="A5" s="223"/>
      <c r="B5" s="43" t="s">
        <v>588</v>
      </c>
      <c r="C5" s="233"/>
      <c r="D5" s="234"/>
      <c r="E5" s="234"/>
      <c r="F5" s="234"/>
      <c r="G5" s="234"/>
      <c r="H5" s="235"/>
      <c r="I5" s="193"/>
      <c r="J5" s="195"/>
      <c r="K5" s="58"/>
      <c r="L5" s="83"/>
      <c r="M5" s="62"/>
      <c r="N5" s="62"/>
      <c r="O5" s="3"/>
      <c r="P5" s="35"/>
      <c r="Q5" s="79"/>
      <c r="T5" s="69"/>
      <c r="AC5" s="52"/>
      <c r="AD5" s="52"/>
      <c r="AE5" s="51"/>
      <c r="AF5" s="52"/>
      <c r="AG5" s="52"/>
      <c r="AH5" s="51"/>
      <c r="AI5" s="52"/>
      <c r="AJ5" s="52"/>
    </row>
    <row r="6" spans="1:36" s="5" customFormat="1" ht="25.5" customHeight="1">
      <c r="A6" s="223"/>
      <c r="B6" s="236" t="s">
        <v>589</v>
      </c>
      <c r="C6" s="237"/>
      <c r="D6" s="238"/>
      <c r="E6" s="238"/>
      <c r="F6" s="238"/>
      <c r="G6" s="238"/>
      <c r="H6" s="239"/>
      <c r="I6" s="193"/>
      <c r="J6" s="195"/>
      <c r="K6" s="58"/>
      <c r="L6" s="83"/>
      <c r="M6" s="63"/>
      <c r="N6" s="63"/>
      <c r="O6" s="3"/>
      <c r="P6" s="35"/>
      <c r="Q6" s="79"/>
      <c r="T6" s="69"/>
      <c r="AC6" s="52"/>
      <c r="AD6" s="52"/>
      <c r="AE6" s="51"/>
      <c r="AF6" s="52"/>
      <c r="AG6" s="52"/>
      <c r="AH6" s="51"/>
      <c r="AI6" s="52"/>
      <c r="AJ6" s="52"/>
    </row>
    <row r="7" spans="1:36" s="5" customFormat="1" ht="25.5" customHeight="1">
      <c r="A7" s="223"/>
      <c r="B7" s="236"/>
      <c r="C7" s="240"/>
      <c r="D7" s="241"/>
      <c r="E7" s="241"/>
      <c r="F7" s="241"/>
      <c r="G7" s="241"/>
      <c r="H7" s="242"/>
      <c r="I7" s="194"/>
      <c r="J7" s="195"/>
      <c r="K7" s="58"/>
      <c r="L7" s="83"/>
      <c r="M7" s="64"/>
      <c r="N7" s="62"/>
      <c r="O7" s="3"/>
      <c r="P7" s="35"/>
      <c r="Q7" s="80"/>
      <c r="T7" s="69"/>
      <c r="AC7" s="52"/>
      <c r="AD7" s="52"/>
      <c r="AE7" s="51"/>
      <c r="AF7" s="52"/>
      <c r="AG7" s="52"/>
      <c r="AH7" s="51"/>
      <c r="AI7" s="52"/>
      <c r="AJ7" s="52"/>
    </row>
    <row r="8" spans="1:36" s="5" customFormat="1" ht="25.5" customHeight="1">
      <c r="A8" s="223"/>
      <c r="B8" s="6" t="s">
        <v>590</v>
      </c>
      <c r="C8" s="243"/>
      <c r="D8" s="243"/>
      <c r="E8" s="243"/>
      <c r="F8" s="243"/>
      <c r="G8" s="243"/>
      <c r="H8" s="243"/>
      <c r="I8" s="243"/>
      <c r="J8" s="244"/>
      <c r="K8" s="58"/>
      <c r="L8" s="83"/>
      <c r="M8" s="65"/>
      <c r="N8" s="62"/>
      <c r="O8" s="3"/>
      <c r="P8" s="35"/>
      <c r="Q8" s="80"/>
      <c r="T8" s="69"/>
      <c r="AC8" s="52"/>
      <c r="AD8" s="52"/>
      <c r="AE8" s="51"/>
      <c r="AF8" s="52"/>
      <c r="AG8" s="52"/>
      <c r="AH8" s="51"/>
      <c r="AI8" s="52"/>
      <c r="AJ8" s="52"/>
    </row>
    <row r="9" spans="1:36" s="5" customFormat="1" ht="25.5" customHeight="1">
      <c r="A9" s="223"/>
      <c r="B9" s="6" t="s">
        <v>591</v>
      </c>
      <c r="C9" s="243"/>
      <c r="D9" s="243"/>
      <c r="E9" s="243"/>
      <c r="F9" s="243"/>
      <c r="G9" s="243"/>
      <c r="H9" s="243"/>
      <c r="I9" s="243"/>
      <c r="J9" s="244"/>
      <c r="K9" s="58"/>
      <c r="L9" s="83"/>
      <c r="M9" s="65"/>
      <c r="N9" s="62"/>
      <c r="O9" s="14"/>
      <c r="P9" s="14"/>
      <c r="Q9" s="67"/>
      <c r="T9" s="69"/>
      <c r="AC9" s="52"/>
      <c r="AD9" s="52"/>
      <c r="AE9" s="51"/>
      <c r="AF9" s="52"/>
      <c r="AG9" s="52"/>
      <c r="AH9" s="51"/>
      <c r="AI9" s="52"/>
      <c r="AJ9" s="52"/>
    </row>
    <row r="10" spans="1:36" s="5" customFormat="1" ht="25.5" customHeight="1">
      <c r="A10" s="223"/>
      <c r="B10" s="43" t="s">
        <v>1121</v>
      </c>
      <c r="C10" s="210"/>
      <c r="D10" s="211"/>
      <c r="E10" s="211"/>
      <c r="F10" s="211"/>
      <c r="G10" s="211"/>
      <c r="H10" s="211"/>
      <c r="I10" s="211"/>
      <c r="J10" s="212"/>
      <c r="K10" s="58"/>
      <c r="L10" s="83"/>
      <c r="M10" s="65"/>
      <c r="N10" s="62"/>
      <c r="O10" s="14"/>
      <c r="P10" s="14"/>
      <c r="AC10" s="52"/>
      <c r="AD10" s="52"/>
      <c r="AE10" s="51"/>
      <c r="AF10" s="52"/>
      <c r="AG10" s="52"/>
      <c r="AH10" s="51"/>
      <c r="AI10" s="52"/>
      <c r="AJ10" s="52"/>
    </row>
    <row r="11" spans="1:36" s="5" customFormat="1" ht="25.5" customHeight="1">
      <c r="A11" s="223"/>
      <c r="B11" s="213" t="s">
        <v>592</v>
      </c>
      <c r="C11" s="214"/>
      <c r="D11" s="214"/>
      <c r="E11" s="214"/>
      <c r="F11" s="214"/>
      <c r="G11" s="214"/>
      <c r="H11" s="214"/>
      <c r="I11" s="214"/>
      <c r="J11" s="215"/>
      <c r="K11" s="58"/>
      <c r="L11" s="83"/>
      <c r="M11" s="64"/>
      <c r="N11" s="64"/>
      <c r="O11" s="14"/>
      <c r="P11" s="14"/>
      <c r="AC11" s="52"/>
      <c r="AD11" s="52"/>
      <c r="AE11" s="51"/>
      <c r="AF11" s="52"/>
      <c r="AG11" s="52"/>
      <c r="AH11" s="51"/>
      <c r="AI11" s="52"/>
      <c r="AJ11" s="52"/>
    </row>
    <row r="12" spans="1:36" s="7" customFormat="1" ht="25.5" customHeight="1">
      <c r="A12" s="223"/>
      <c r="B12" s="71" t="s">
        <v>1162</v>
      </c>
      <c r="C12" s="187"/>
      <c r="D12" s="187"/>
      <c r="E12" s="187"/>
      <c r="F12" s="188"/>
      <c r="G12" s="188"/>
      <c r="H12" s="188"/>
      <c r="I12" s="188"/>
      <c r="J12" s="188"/>
      <c r="K12" s="58" t="str">
        <f>IF(COUNTIF(C12:J12,"X")&gt;0,"OK","N.OK")</f>
        <v>N.OK</v>
      </c>
      <c r="L12" s="83"/>
      <c r="M12" s="64"/>
      <c r="N12" s="64"/>
      <c r="O12" s="14"/>
      <c r="P12" s="14"/>
      <c r="AC12" s="52"/>
      <c r="AD12" s="52"/>
      <c r="AE12" s="51"/>
      <c r="AF12" s="52"/>
      <c r="AG12" s="52"/>
      <c r="AH12" s="51"/>
      <c r="AI12" s="52"/>
      <c r="AJ12" s="52"/>
    </row>
    <row r="13" spans="1:36" s="7" customFormat="1" ht="31.5" customHeight="1">
      <c r="A13" s="223"/>
      <c r="B13" s="81" t="s">
        <v>1123</v>
      </c>
      <c r="C13" s="185"/>
      <c r="D13" s="185"/>
      <c r="E13" s="185"/>
      <c r="F13" s="185"/>
      <c r="G13" s="152"/>
      <c r="H13" s="152"/>
      <c r="I13" s="152"/>
      <c r="J13" s="152"/>
      <c r="K13" s="58"/>
      <c r="L13" s="83"/>
      <c r="M13" s="64"/>
      <c r="N13" s="64"/>
      <c r="O13" s="14"/>
      <c r="P13" s="14"/>
      <c r="AC13" s="52"/>
      <c r="AD13" s="52"/>
      <c r="AE13" s="51"/>
      <c r="AF13" s="52"/>
      <c r="AG13" s="52"/>
      <c r="AH13" s="51"/>
      <c r="AI13" s="52"/>
      <c r="AJ13" s="52"/>
    </row>
    <row r="14" spans="1:36" s="7" customFormat="1" ht="25.5" customHeight="1">
      <c r="A14" s="223"/>
      <c r="B14" s="72" t="s">
        <v>1174</v>
      </c>
      <c r="C14" s="186"/>
      <c r="D14" s="179"/>
      <c r="E14" s="179"/>
      <c r="F14" s="186"/>
      <c r="G14" s="153"/>
      <c r="H14" s="153"/>
      <c r="I14" s="153"/>
      <c r="J14" s="153"/>
      <c r="K14" s="58"/>
      <c r="L14" s="83"/>
      <c r="M14" s="64"/>
      <c r="N14" s="64"/>
      <c r="O14" s="14"/>
      <c r="P14" s="14"/>
      <c r="AC14" s="52"/>
      <c r="AD14" s="52"/>
      <c r="AE14" s="51"/>
      <c r="AF14" s="52"/>
      <c r="AG14" s="52"/>
      <c r="AH14" s="51"/>
      <c r="AI14" s="52"/>
      <c r="AJ14" s="52"/>
    </row>
    <row r="15" spans="1:36" s="5" customFormat="1" ht="25.5" customHeight="1">
      <c r="A15" s="223"/>
      <c r="B15" s="82" t="s">
        <v>594</v>
      </c>
      <c r="C15" s="183"/>
      <c r="D15" s="184"/>
      <c r="E15" s="184"/>
      <c r="F15" s="184"/>
      <c r="G15" s="183"/>
      <c r="H15" s="183"/>
      <c r="I15" s="183"/>
      <c r="J15" s="183"/>
      <c r="K15" s="58"/>
      <c r="L15" s="83"/>
      <c r="M15" s="61"/>
      <c r="N15" s="62"/>
      <c r="O15" s="14"/>
      <c r="P15" s="14"/>
      <c r="AC15" s="52"/>
      <c r="AD15" s="52"/>
      <c r="AE15" s="51"/>
      <c r="AF15" s="52"/>
      <c r="AG15" s="52"/>
      <c r="AH15" s="51"/>
      <c r="AI15" s="52"/>
      <c r="AJ15" s="52"/>
    </row>
    <row r="16" spans="1:36" s="5" customFormat="1" ht="25.5" customHeight="1">
      <c r="A16" s="223"/>
      <c r="B16" s="88" t="s">
        <v>583</v>
      </c>
      <c r="C16" s="154" t="str">
        <f>IF(C$15&lt;&gt;"",(VLOOKUP(C$15,$S$3:$T$4,2,FALSE))*100%,"")</f>
        <v/>
      </c>
      <c r="D16" s="154" t="str">
        <f>IF(D$15&lt;&gt;"",(VLOOKUP(D$15,$S$3:$T$4,2,FALSE))*100%,"")</f>
        <v/>
      </c>
      <c r="E16" s="154" t="str">
        <f t="shared" ref="E16:J16" si="0">IF(E$15&lt;&gt;"",(VLOOKUP(E$15,$S$3:$T$4,2,FALSE))*100%,"")</f>
        <v/>
      </c>
      <c r="F16" s="154" t="str">
        <f t="shared" si="0"/>
        <v/>
      </c>
      <c r="G16" s="154" t="str">
        <f t="shared" si="0"/>
        <v/>
      </c>
      <c r="H16" s="154" t="str">
        <f t="shared" si="0"/>
        <v/>
      </c>
      <c r="I16" s="154" t="str">
        <f t="shared" si="0"/>
        <v/>
      </c>
      <c r="J16" s="154" t="str">
        <f t="shared" si="0"/>
        <v/>
      </c>
      <c r="K16" s="58"/>
      <c r="L16" s="83"/>
      <c r="M16" s="63"/>
      <c r="N16" s="63"/>
      <c r="O16" s="14"/>
      <c r="P16" s="14"/>
      <c r="AC16" s="53"/>
      <c r="AD16" s="53"/>
      <c r="AE16" s="45"/>
      <c r="AF16" s="53"/>
      <c r="AG16" s="53"/>
      <c r="AH16" s="45"/>
      <c r="AI16" s="53"/>
      <c r="AJ16" s="53"/>
    </row>
    <row r="17" spans="1:230" s="5" customFormat="1" ht="25.5" customHeight="1" thickBot="1">
      <c r="A17" s="223"/>
      <c r="B17" s="6" t="s">
        <v>596</v>
      </c>
      <c r="C17" s="180"/>
      <c r="D17" s="180"/>
      <c r="E17" s="180"/>
      <c r="F17" s="180"/>
      <c r="G17" s="180"/>
      <c r="H17" s="180"/>
      <c r="I17" s="180"/>
      <c r="J17" s="180"/>
      <c r="K17" s="58"/>
      <c r="L17" s="83"/>
      <c r="M17" s="66"/>
      <c r="N17" s="64"/>
      <c r="O17" s="14"/>
      <c r="P17" s="14"/>
      <c r="AC17" s="45"/>
      <c r="AD17" s="45"/>
      <c r="AE17" s="45"/>
      <c r="AF17" s="45"/>
      <c r="AG17" s="45"/>
      <c r="AH17" s="45"/>
      <c r="AI17" s="45"/>
      <c r="AJ17" s="45"/>
    </row>
    <row r="18" spans="1:230" s="5" customFormat="1" ht="25.5" customHeight="1" thickBot="1">
      <c r="A18" s="223"/>
      <c r="B18" s="86" t="s">
        <v>598</v>
      </c>
      <c r="C18" s="181"/>
      <c r="D18" s="181"/>
      <c r="E18" s="181"/>
      <c r="F18" s="181"/>
      <c r="G18" s="181"/>
      <c r="H18" s="181"/>
      <c r="I18" s="181"/>
      <c r="J18" s="181"/>
      <c r="K18" s="58"/>
      <c r="L18" s="83"/>
      <c r="M18" s="63"/>
      <c r="N18" s="63"/>
      <c r="O18" s="14"/>
      <c r="P18" s="14"/>
      <c r="AC18" s="46"/>
      <c r="AD18" s="46"/>
      <c r="AE18" s="46"/>
      <c r="AF18" s="46"/>
      <c r="AG18" s="46"/>
      <c r="AH18" s="46"/>
      <c r="AI18" s="46"/>
      <c r="AJ18" s="46"/>
    </row>
    <row r="19" spans="1:230" s="30" customFormat="1" ht="30.75" customHeight="1">
      <c r="A19" s="223"/>
      <c r="B19" s="29" t="s">
        <v>599</v>
      </c>
      <c r="C19" s="182"/>
      <c r="D19" s="182"/>
      <c r="E19" s="182"/>
      <c r="F19" s="182"/>
      <c r="G19" s="182"/>
      <c r="H19" s="182"/>
      <c r="I19" s="182"/>
      <c r="J19" s="182"/>
      <c r="K19" s="60"/>
      <c r="L19" s="84"/>
      <c r="M19" s="99"/>
      <c r="N19" s="99"/>
      <c r="O19" s="31"/>
      <c r="P19" s="31"/>
      <c r="AC19" s="45"/>
      <c r="AD19" s="45"/>
      <c r="AE19" s="45"/>
      <c r="AF19" s="45"/>
      <c r="AG19" s="45"/>
      <c r="AH19" s="45"/>
      <c r="AI19" s="45"/>
      <c r="AJ19" s="45"/>
    </row>
    <row r="20" spans="1:230" s="5" customFormat="1" ht="25.5" customHeight="1">
      <c r="A20" s="223"/>
      <c r="B20" s="6" t="s">
        <v>600</v>
      </c>
      <c r="C20" s="176"/>
      <c r="D20" s="176"/>
      <c r="E20" s="176"/>
      <c r="F20" s="176"/>
      <c r="G20" s="176"/>
      <c r="H20" s="176"/>
      <c r="I20" s="176"/>
      <c r="J20" s="176"/>
      <c r="K20" s="58"/>
      <c r="L20" s="84"/>
      <c r="M20" s="66"/>
      <c r="N20" s="66"/>
      <c r="O20" s="14"/>
      <c r="P20" s="14"/>
      <c r="AC20" s="45"/>
      <c r="AD20" s="45"/>
      <c r="AE20" s="45"/>
      <c r="AF20" s="45"/>
      <c r="AG20" s="45"/>
      <c r="AH20" s="45"/>
      <c r="AI20" s="45"/>
      <c r="AJ20" s="45"/>
    </row>
    <row r="21" spans="1:230" s="5" customFormat="1" ht="25.5" customHeight="1">
      <c r="A21" s="223"/>
      <c r="B21" s="43" t="s">
        <v>601</v>
      </c>
      <c r="C21" s="177"/>
      <c r="D21" s="177"/>
      <c r="E21" s="177"/>
      <c r="F21" s="177"/>
      <c r="G21" s="177"/>
      <c r="H21" s="177"/>
      <c r="I21" s="177"/>
      <c r="J21" s="177"/>
      <c r="K21" s="58"/>
      <c r="L21" s="83"/>
      <c r="M21" s="66"/>
      <c r="N21" s="66"/>
      <c r="O21" s="14"/>
      <c r="P21" s="14"/>
      <c r="AC21" s="45"/>
      <c r="AD21" s="45"/>
      <c r="AE21" s="45"/>
      <c r="AF21" s="45"/>
      <c r="AG21" s="45"/>
      <c r="AH21" s="45"/>
      <c r="AI21" s="45"/>
      <c r="AJ21" s="45"/>
    </row>
    <row r="22" spans="1:230" s="5" customFormat="1" ht="25.5" customHeight="1">
      <c r="A22" s="223"/>
      <c r="B22" s="72" t="s">
        <v>602</v>
      </c>
      <c r="C22" s="178"/>
      <c r="D22" s="178"/>
      <c r="E22" s="178"/>
      <c r="F22" s="178"/>
      <c r="G22" s="178"/>
      <c r="H22" s="178"/>
      <c r="I22" s="178"/>
      <c r="J22" s="178"/>
      <c r="K22" s="58"/>
      <c r="L22" s="83"/>
      <c r="M22" s="66"/>
      <c r="N22" s="66"/>
      <c r="O22" s="14"/>
      <c r="P22" s="14"/>
      <c r="AC22" s="45"/>
      <c r="AD22" s="45"/>
      <c r="AE22" s="45"/>
      <c r="AF22" s="45"/>
      <c r="AG22" s="45"/>
      <c r="AH22" s="45"/>
      <c r="AI22" s="45"/>
      <c r="AJ22" s="45"/>
    </row>
    <row r="23" spans="1:230" s="5" customFormat="1" ht="25.5" customHeight="1">
      <c r="A23" s="223"/>
      <c r="B23" s="43" t="s">
        <v>603</v>
      </c>
      <c r="C23" s="178"/>
      <c r="D23" s="178"/>
      <c r="E23" s="179"/>
      <c r="F23" s="179"/>
      <c r="G23" s="179"/>
      <c r="H23" s="179"/>
      <c r="I23" s="179"/>
      <c r="J23" s="179"/>
      <c r="K23" s="58"/>
      <c r="L23" s="83"/>
      <c r="M23" s="66"/>
      <c r="N23" s="66"/>
      <c r="O23" s="14"/>
      <c r="P23" s="14"/>
      <c r="AC23" s="47"/>
      <c r="AD23" s="47"/>
      <c r="AE23" s="47"/>
      <c r="AF23" s="47"/>
      <c r="AG23" s="47"/>
      <c r="AH23" s="47"/>
      <c r="AI23" s="47"/>
      <c r="AJ23" s="47"/>
    </row>
    <row r="24" spans="1:230" s="8" customFormat="1" ht="25.5" customHeight="1">
      <c r="A24" s="223"/>
      <c r="B24" s="245" t="s">
        <v>604</v>
      </c>
      <c r="C24" s="246"/>
      <c r="D24" s="246"/>
      <c r="E24" s="246"/>
      <c r="F24" s="246"/>
      <c r="G24" s="246"/>
      <c r="H24" s="246"/>
      <c r="I24" s="246"/>
      <c r="J24" s="247"/>
      <c r="K24" s="58"/>
      <c r="L24" s="83"/>
      <c r="M24" s="66"/>
      <c r="N24" s="66"/>
      <c r="O24" s="14"/>
      <c r="P24" s="14"/>
      <c r="AC24" s="48"/>
      <c r="AD24" s="48"/>
      <c r="AE24" s="48"/>
      <c r="AF24" s="48"/>
      <c r="AG24" s="48"/>
      <c r="AH24" s="48"/>
      <c r="AI24" s="48"/>
      <c r="AJ24" s="48"/>
    </row>
    <row r="25" spans="1:230" s="8" customFormat="1" ht="25.5" customHeight="1">
      <c r="A25" s="223"/>
      <c r="B25" s="9" t="s">
        <v>1158</v>
      </c>
      <c r="C25" s="174"/>
      <c r="D25" s="174"/>
      <c r="E25" s="174"/>
      <c r="F25" s="174"/>
      <c r="G25" s="155"/>
      <c r="H25" s="155"/>
      <c r="I25" s="155"/>
      <c r="J25" s="155"/>
      <c r="K25" s="58"/>
      <c r="L25" s="83"/>
      <c r="M25" s="66"/>
      <c r="N25" s="66"/>
      <c r="O25" s="14"/>
      <c r="P25" s="14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48"/>
      <c r="AD25" s="48"/>
      <c r="AE25" s="48"/>
      <c r="AF25" s="48"/>
      <c r="AG25" s="48"/>
      <c r="AH25" s="48"/>
      <c r="AI25" s="48"/>
      <c r="AJ25" s="48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20"/>
      <c r="EG25" s="20"/>
      <c r="EH25" s="20"/>
      <c r="EI25" s="20"/>
      <c r="EJ25" s="20"/>
      <c r="EK25" s="20"/>
      <c r="EL25" s="20"/>
      <c r="EM25" s="20"/>
      <c r="EN25" s="20"/>
      <c r="EO25" s="20"/>
      <c r="EP25" s="20"/>
      <c r="EQ25" s="20"/>
      <c r="ER25" s="20"/>
      <c r="ES25" s="20"/>
      <c r="ET25" s="20"/>
      <c r="EU25" s="20"/>
      <c r="EV25" s="20"/>
      <c r="EW25" s="20"/>
      <c r="EX25" s="20"/>
      <c r="EY25" s="20"/>
      <c r="EZ25" s="20"/>
      <c r="FA25" s="20"/>
      <c r="FB25" s="20"/>
      <c r="FC25" s="20"/>
      <c r="FD25" s="20"/>
      <c r="FE25" s="20"/>
      <c r="FF25" s="20"/>
      <c r="FG25" s="20"/>
      <c r="FH25" s="20"/>
      <c r="FI25" s="20"/>
      <c r="FJ25" s="20"/>
      <c r="FK25" s="20"/>
      <c r="FL25" s="20"/>
      <c r="FM25" s="20"/>
      <c r="FN25" s="20"/>
      <c r="FO25" s="20"/>
      <c r="FP25" s="20"/>
      <c r="FQ25" s="20"/>
      <c r="FR25" s="20"/>
      <c r="FS25" s="20"/>
      <c r="FT25" s="20"/>
      <c r="FU25" s="20"/>
      <c r="FV25" s="20"/>
      <c r="FW25" s="20"/>
      <c r="FX25" s="20"/>
      <c r="FY25" s="20"/>
      <c r="FZ25" s="20"/>
      <c r="GA25" s="20"/>
      <c r="GB25" s="20"/>
      <c r="GC25" s="20"/>
      <c r="GD25" s="20"/>
      <c r="GE25" s="20"/>
      <c r="GF25" s="20"/>
      <c r="GG25" s="20"/>
      <c r="GH25" s="20"/>
      <c r="GI25" s="20"/>
      <c r="GJ25" s="20"/>
      <c r="GK25" s="20"/>
      <c r="GL25" s="20"/>
      <c r="GM25" s="20"/>
      <c r="GN25" s="20"/>
      <c r="GO25" s="20"/>
      <c r="GP25" s="20"/>
      <c r="GQ25" s="20"/>
      <c r="GR25" s="20"/>
      <c r="GS25" s="20"/>
      <c r="GT25" s="20"/>
      <c r="GU25" s="20"/>
      <c r="GV25" s="20"/>
      <c r="GW25" s="20"/>
      <c r="GX25" s="20"/>
      <c r="GY25" s="20"/>
      <c r="GZ25" s="20"/>
      <c r="HA25" s="20"/>
      <c r="HB25" s="20"/>
      <c r="HC25" s="20"/>
      <c r="HD25" s="20"/>
      <c r="HE25" s="20"/>
      <c r="HF25" s="20"/>
      <c r="HG25" s="20"/>
      <c r="HH25" s="20"/>
      <c r="HI25" s="20"/>
      <c r="HJ25" s="20"/>
      <c r="HK25" s="20"/>
      <c r="HL25" s="20"/>
      <c r="HM25" s="20"/>
      <c r="HN25" s="20"/>
      <c r="HO25" s="20"/>
      <c r="HP25" s="20"/>
      <c r="HQ25" s="20"/>
      <c r="HR25" s="20"/>
      <c r="HS25" s="20"/>
      <c r="HT25" s="20"/>
      <c r="HU25" s="20"/>
      <c r="HV25" s="20"/>
    </row>
    <row r="26" spans="1:230" s="8" customFormat="1" ht="25.5" customHeight="1">
      <c r="A26" s="223"/>
      <c r="B26" s="9" t="s">
        <v>1159</v>
      </c>
      <c r="C26" s="174"/>
      <c r="D26" s="174"/>
      <c r="E26" s="174"/>
      <c r="F26" s="174"/>
      <c r="G26" s="155"/>
      <c r="H26" s="155"/>
      <c r="I26" s="155"/>
      <c r="J26" s="155"/>
      <c r="K26" s="58"/>
      <c r="L26" s="84"/>
      <c r="M26" s="99"/>
      <c r="N26" s="99"/>
      <c r="O26" s="14"/>
      <c r="P26" s="14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48"/>
      <c r="AD26" s="48"/>
      <c r="AE26" s="48"/>
      <c r="AF26" s="48"/>
      <c r="AG26" s="48"/>
      <c r="AH26" s="48"/>
      <c r="AI26" s="48"/>
      <c r="AJ26" s="48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0"/>
      <c r="BP26" s="20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  <c r="CW26" s="20"/>
      <c r="CX26" s="20"/>
      <c r="CY26" s="20"/>
      <c r="CZ26" s="20"/>
      <c r="DA26" s="20"/>
      <c r="DB26" s="20"/>
      <c r="DC26" s="20"/>
      <c r="DD26" s="20"/>
      <c r="DE26" s="20"/>
      <c r="DF26" s="20"/>
      <c r="DG26" s="20"/>
      <c r="DH26" s="20"/>
      <c r="DI26" s="20"/>
      <c r="DJ26" s="20"/>
      <c r="DK26" s="20"/>
      <c r="DL26" s="20"/>
      <c r="DM26" s="20"/>
      <c r="DN26" s="20"/>
      <c r="DO26" s="20"/>
      <c r="DP26" s="20"/>
      <c r="DQ26" s="20"/>
      <c r="DR26" s="20"/>
      <c r="DS26" s="20"/>
      <c r="DT26" s="20"/>
      <c r="DU26" s="20"/>
      <c r="DV26" s="20"/>
      <c r="DW26" s="20"/>
      <c r="DX26" s="20"/>
      <c r="DY26" s="20"/>
      <c r="DZ26" s="20"/>
      <c r="EA26" s="20"/>
      <c r="EB26" s="20"/>
      <c r="EC26" s="20"/>
      <c r="ED26" s="20"/>
      <c r="EE26" s="20"/>
      <c r="EF26" s="20"/>
      <c r="EG26" s="20"/>
      <c r="EH26" s="20"/>
      <c r="EI26" s="20"/>
      <c r="EJ26" s="20"/>
      <c r="EK26" s="20"/>
      <c r="EL26" s="20"/>
      <c r="EM26" s="20"/>
      <c r="EN26" s="20"/>
      <c r="EO26" s="20"/>
      <c r="EP26" s="20"/>
      <c r="EQ26" s="20"/>
      <c r="ER26" s="20"/>
      <c r="ES26" s="20"/>
      <c r="ET26" s="20"/>
      <c r="EU26" s="20"/>
      <c r="EV26" s="20"/>
      <c r="EW26" s="20"/>
      <c r="EX26" s="20"/>
      <c r="EY26" s="20"/>
      <c r="EZ26" s="20"/>
      <c r="FA26" s="20"/>
      <c r="FB26" s="20"/>
      <c r="FC26" s="20"/>
      <c r="FD26" s="20"/>
      <c r="FE26" s="20"/>
      <c r="FF26" s="20"/>
      <c r="FG26" s="20"/>
      <c r="FH26" s="20"/>
      <c r="FI26" s="20"/>
      <c r="FJ26" s="20"/>
      <c r="FK26" s="20"/>
      <c r="FL26" s="20"/>
      <c r="FM26" s="20"/>
      <c r="FN26" s="20"/>
      <c r="FO26" s="20"/>
      <c r="FP26" s="20"/>
      <c r="FQ26" s="20"/>
      <c r="FR26" s="20"/>
      <c r="FS26" s="20"/>
      <c r="FT26" s="20"/>
      <c r="FU26" s="20"/>
      <c r="FV26" s="20"/>
      <c r="FW26" s="20"/>
      <c r="FX26" s="20"/>
      <c r="FY26" s="20"/>
      <c r="FZ26" s="20"/>
      <c r="GA26" s="20"/>
      <c r="GB26" s="20"/>
      <c r="GC26" s="20"/>
      <c r="GD26" s="20"/>
      <c r="GE26" s="20"/>
      <c r="GF26" s="20"/>
      <c r="GG26" s="20"/>
      <c r="GH26" s="20"/>
      <c r="GI26" s="20"/>
      <c r="GJ26" s="20"/>
      <c r="GK26" s="20"/>
      <c r="GL26" s="20"/>
      <c r="GM26" s="20"/>
      <c r="GN26" s="20"/>
      <c r="GO26" s="20"/>
      <c r="GP26" s="20"/>
      <c r="GQ26" s="20"/>
      <c r="GR26" s="20"/>
      <c r="GS26" s="20"/>
      <c r="GT26" s="20"/>
      <c r="GU26" s="20"/>
      <c r="GV26" s="20"/>
      <c r="GW26" s="20"/>
      <c r="GX26" s="20"/>
      <c r="GY26" s="20"/>
      <c r="GZ26" s="20"/>
      <c r="HA26" s="20"/>
      <c r="HB26" s="20"/>
      <c r="HC26" s="20"/>
      <c r="HD26" s="20"/>
      <c r="HE26" s="20"/>
      <c r="HF26" s="20"/>
      <c r="HG26" s="20"/>
      <c r="HH26" s="20"/>
      <c r="HI26" s="20"/>
      <c r="HJ26" s="20"/>
      <c r="HK26" s="20"/>
      <c r="HL26" s="20"/>
      <c r="HM26" s="20"/>
      <c r="HN26" s="20"/>
      <c r="HO26" s="20"/>
      <c r="HP26" s="20"/>
      <c r="HQ26" s="20"/>
      <c r="HR26" s="20"/>
      <c r="HS26" s="20"/>
      <c r="HT26" s="20"/>
      <c r="HU26" s="20"/>
      <c r="HV26" s="20"/>
    </row>
    <row r="27" spans="1:230" s="8" customFormat="1" ht="25.5" customHeight="1">
      <c r="A27" s="223"/>
      <c r="B27" s="9" t="s">
        <v>1160</v>
      </c>
      <c r="C27" s="175"/>
      <c r="D27" s="175"/>
      <c r="E27" s="175"/>
      <c r="F27" s="175"/>
      <c r="G27" s="169"/>
      <c r="H27" s="169"/>
      <c r="I27" s="169"/>
      <c r="J27" s="169"/>
      <c r="K27" s="58"/>
      <c r="L27" s="83"/>
      <c r="M27" s="66"/>
      <c r="N27" s="66"/>
      <c r="O27" s="14"/>
      <c r="P27" s="14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48"/>
      <c r="AD27" s="48"/>
      <c r="AE27" s="48"/>
      <c r="AF27" s="48"/>
      <c r="AG27" s="48"/>
      <c r="AH27" s="48"/>
      <c r="AI27" s="48"/>
      <c r="AJ27" s="48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20"/>
      <c r="DR27" s="20"/>
      <c r="DS27" s="20"/>
      <c r="DT27" s="20"/>
      <c r="DU27" s="20"/>
      <c r="DV27" s="20"/>
      <c r="DW27" s="20"/>
      <c r="DX27" s="20"/>
      <c r="DY27" s="20"/>
      <c r="DZ27" s="20"/>
      <c r="EA27" s="20"/>
      <c r="EB27" s="20"/>
      <c r="EC27" s="20"/>
      <c r="ED27" s="20"/>
      <c r="EE27" s="20"/>
      <c r="EF27" s="20"/>
      <c r="EG27" s="20"/>
      <c r="EH27" s="20"/>
      <c r="EI27" s="20"/>
      <c r="EJ27" s="20"/>
      <c r="EK27" s="20"/>
      <c r="EL27" s="20"/>
      <c r="EM27" s="20"/>
      <c r="EN27" s="20"/>
      <c r="EO27" s="20"/>
      <c r="EP27" s="20"/>
      <c r="EQ27" s="20"/>
      <c r="ER27" s="20"/>
      <c r="ES27" s="20"/>
      <c r="ET27" s="20"/>
      <c r="EU27" s="20"/>
      <c r="EV27" s="20"/>
      <c r="EW27" s="20"/>
      <c r="EX27" s="20"/>
      <c r="EY27" s="20"/>
      <c r="EZ27" s="20"/>
      <c r="FA27" s="20"/>
      <c r="FB27" s="20"/>
      <c r="FC27" s="20"/>
      <c r="FD27" s="20"/>
      <c r="FE27" s="20"/>
      <c r="FF27" s="20"/>
      <c r="FG27" s="20"/>
      <c r="FH27" s="20"/>
      <c r="FI27" s="20"/>
      <c r="FJ27" s="20"/>
      <c r="FK27" s="20"/>
      <c r="FL27" s="20"/>
      <c r="FM27" s="20"/>
      <c r="FN27" s="20"/>
      <c r="FO27" s="20"/>
      <c r="FP27" s="20"/>
      <c r="FQ27" s="20"/>
      <c r="FR27" s="20"/>
      <c r="FS27" s="20"/>
      <c r="FT27" s="20"/>
      <c r="FU27" s="20"/>
      <c r="FV27" s="20"/>
      <c r="FW27" s="20"/>
      <c r="FX27" s="20"/>
      <c r="FY27" s="20"/>
      <c r="FZ27" s="20"/>
      <c r="GA27" s="20"/>
      <c r="GB27" s="20"/>
      <c r="GC27" s="20"/>
      <c r="GD27" s="20"/>
      <c r="GE27" s="20"/>
      <c r="GF27" s="20"/>
      <c r="GG27" s="20"/>
      <c r="GH27" s="20"/>
      <c r="GI27" s="20"/>
      <c r="GJ27" s="20"/>
      <c r="GK27" s="20"/>
      <c r="GL27" s="20"/>
      <c r="GM27" s="20"/>
      <c r="GN27" s="20"/>
      <c r="GO27" s="20"/>
      <c r="GP27" s="20"/>
      <c r="GQ27" s="20"/>
      <c r="GR27" s="20"/>
      <c r="GS27" s="20"/>
      <c r="GT27" s="20"/>
      <c r="GU27" s="20"/>
      <c r="GV27" s="20"/>
      <c r="GW27" s="20"/>
      <c r="GX27" s="20"/>
      <c r="GY27" s="20"/>
      <c r="GZ27" s="20"/>
      <c r="HA27" s="20"/>
      <c r="HB27" s="20"/>
      <c r="HC27" s="20"/>
      <c r="HD27" s="20"/>
      <c r="HE27" s="20"/>
      <c r="HF27" s="20"/>
      <c r="HG27" s="20"/>
      <c r="HH27" s="20"/>
      <c r="HI27" s="20"/>
      <c r="HJ27" s="20"/>
      <c r="HK27" s="20"/>
      <c r="HL27" s="20"/>
      <c r="HM27" s="20"/>
      <c r="HN27" s="20"/>
      <c r="HO27" s="20"/>
      <c r="HP27" s="20"/>
      <c r="HQ27" s="20"/>
      <c r="HR27" s="20"/>
      <c r="HS27" s="20"/>
      <c r="HT27" s="20"/>
      <c r="HU27" s="20"/>
      <c r="HV27" s="20"/>
    </row>
    <row r="28" spans="1:230" s="8" customFormat="1" ht="25.5" customHeight="1">
      <c r="A28" s="223"/>
      <c r="B28" s="9" t="s">
        <v>1161</v>
      </c>
      <c r="C28" s="175"/>
      <c r="D28" s="175"/>
      <c r="E28" s="175"/>
      <c r="F28" s="175"/>
      <c r="G28" s="169"/>
      <c r="H28" s="169"/>
      <c r="I28" s="169"/>
      <c r="J28" s="169"/>
      <c r="K28" s="58"/>
      <c r="L28" s="83"/>
      <c r="M28" s="66"/>
      <c r="N28" s="66"/>
      <c r="O28" s="14"/>
      <c r="P28" s="14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48"/>
      <c r="AD28" s="48"/>
      <c r="AE28" s="48"/>
      <c r="AF28" s="48"/>
      <c r="AG28" s="48"/>
      <c r="AH28" s="48"/>
      <c r="AI28" s="48"/>
      <c r="AJ28" s="48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  <c r="DK28" s="20"/>
      <c r="DL28" s="20"/>
      <c r="DM28" s="20"/>
      <c r="DN28" s="20"/>
      <c r="DO28" s="20"/>
      <c r="DP28" s="20"/>
      <c r="DQ28" s="20"/>
      <c r="DR28" s="20"/>
      <c r="DS28" s="20"/>
      <c r="DT28" s="20"/>
      <c r="DU28" s="20"/>
      <c r="DV28" s="20"/>
      <c r="DW28" s="20"/>
      <c r="DX28" s="20"/>
      <c r="DY28" s="20"/>
      <c r="DZ28" s="20"/>
      <c r="EA28" s="20"/>
      <c r="EB28" s="20"/>
      <c r="EC28" s="20"/>
      <c r="ED28" s="20"/>
      <c r="EE28" s="20"/>
      <c r="EF28" s="20"/>
      <c r="EG28" s="20"/>
      <c r="EH28" s="20"/>
      <c r="EI28" s="20"/>
      <c r="EJ28" s="20"/>
      <c r="EK28" s="20"/>
      <c r="EL28" s="20"/>
      <c r="EM28" s="20"/>
      <c r="EN28" s="20"/>
      <c r="EO28" s="20"/>
      <c r="EP28" s="20"/>
      <c r="EQ28" s="20"/>
      <c r="ER28" s="20"/>
      <c r="ES28" s="20"/>
      <c r="ET28" s="20"/>
      <c r="EU28" s="20"/>
      <c r="EV28" s="20"/>
      <c r="EW28" s="20"/>
      <c r="EX28" s="20"/>
      <c r="EY28" s="20"/>
      <c r="EZ28" s="20"/>
      <c r="FA28" s="20"/>
      <c r="FB28" s="20"/>
      <c r="FC28" s="20"/>
      <c r="FD28" s="20"/>
      <c r="FE28" s="20"/>
      <c r="FF28" s="20"/>
      <c r="FG28" s="20"/>
      <c r="FH28" s="20"/>
      <c r="FI28" s="20"/>
      <c r="FJ28" s="20"/>
      <c r="FK28" s="20"/>
      <c r="FL28" s="20"/>
      <c r="FM28" s="20"/>
      <c r="FN28" s="20"/>
      <c r="FO28" s="20"/>
      <c r="FP28" s="20"/>
      <c r="FQ28" s="20"/>
      <c r="FR28" s="20"/>
      <c r="FS28" s="20"/>
      <c r="FT28" s="20"/>
      <c r="FU28" s="20"/>
      <c r="FV28" s="20"/>
      <c r="FW28" s="20"/>
      <c r="FX28" s="20"/>
      <c r="FY28" s="20"/>
      <c r="FZ28" s="20"/>
      <c r="GA28" s="20"/>
      <c r="GB28" s="20"/>
      <c r="GC28" s="20"/>
      <c r="GD28" s="20"/>
      <c r="GE28" s="20"/>
      <c r="GF28" s="20"/>
      <c r="GG28" s="20"/>
      <c r="GH28" s="20"/>
      <c r="GI28" s="20"/>
      <c r="GJ28" s="20"/>
      <c r="GK28" s="20"/>
      <c r="GL28" s="20"/>
      <c r="GM28" s="20"/>
      <c r="GN28" s="20"/>
      <c r="GO28" s="20"/>
      <c r="GP28" s="20"/>
      <c r="GQ28" s="20"/>
      <c r="GR28" s="20"/>
      <c r="GS28" s="20"/>
      <c r="GT28" s="20"/>
      <c r="GU28" s="20"/>
      <c r="GV28" s="20"/>
      <c r="GW28" s="20"/>
      <c r="GX28" s="20"/>
      <c r="GY28" s="20"/>
      <c r="GZ28" s="20"/>
      <c r="HA28" s="20"/>
      <c r="HB28" s="20"/>
      <c r="HC28" s="20"/>
      <c r="HD28" s="20"/>
      <c r="HE28" s="20"/>
      <c r="HF28" s="20"/>
      <c r="HG28" s="20"/>
      <c r="HH28" s="20"/>
      <c r="HI28" s="20"/>
      <c r="HJ28" s="20"/>
      <c r="HK28" s="20"/>
      <c r="HL28" s="20"/>
      <c r="HM28" s="20"/>
      <c r="HN28" s="20"/>
      <c r="HO28" s="20"/>
      <c r="HP28" s="20"/>
      <c r="HQ28" s="20"/>
      <c r="HR28" s="20"/>
      <c r="HS28" s="20"/>
      <c r="HT28" s="20"/>
      <c r="HU28" s="20"/>
      <c r="HV28" s="20"/>
    </row>
    <row r="29" spans="1:230" s="8" customFormat="1" ht="25.5" customHeight="1">
      <c r="A29" s="223"/>
      <c r="B29" s="9" t="s">
        <v>606</v>
      </c>
      <c r="C29" s="175"/>
      <c r="D29" s="175"/>
      <c r="E29" s="175"/>
      <c r="F29" s="175"/>
      <c r="G29" s="169"/>
      <c r="H29" s="169"/>
      <c r="I29" s="169"/>
      <c r="J29" s="169"/>
      <c r="K29" s="58"/>
      <c r="L29" s="83"/>
      <c r="M29" s="66"/>
      <c r="N29" s="66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48"/>
      <c r="AD29" s="48"/>
      <c r="AE29" s="48"/>
      <c r="AF29" s="48"/>
      <c r="AG29" s="48"/>
      <c r="AH29" s="48"/>
      <c r="AI29" s="48"/>
      <c r="AJ29" s="48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20"/>
      <c r="DT29" s="20"/>
      <c r="DU29" s="20"/>
      <c r="DV29" s="20"/>
      <c r="DW29" s="20"/>
      <c r="DX29" s="20"/>
      <c r="DY29" s="20"/>
      <c r="DZ29" s="20"/>
      <c r="EA29" s="20"/>
      <c r="EB29" s="20"/>
      <c r="EC29" s="20"/>
      <c r="ED29" s="20"/>
      <c r="EE29" s="20"/>
      <c r="EF29" s="20"/>
      <c r="EG29" s="20"/>
      <c r="EH29" s="20"/>
      <c r="EI29" s="20"/>
      <c r="EJ29" s="20"/>
      <c r="EK29" s="20"/>
      <c r="EL29" s="20"/>
      <c r="EM29" s="20"/>
      <c r="EN29" s="20"/>
      <c r="EO29" s="20"/>
      <c r="EP29" s="20"/>
      <c r="EQ29" s="20"/>
      <c r="ER29" s="20"/>
      <c r="ES29" s="20"/>
      <c r="ET29" s="20"/>
      <c r="EU29" s="20"/>
      <c r="EV29" s="20"/>
      <c r="EW29" s="20"/>
      <c r="EX29" s="20"/>
      <c r="EY29" s="20"/>
      <c r="EZ29" s="20"/>
      <c r="FA29" s="20"/>
      <c r="FB29" s="20"/>
      <c r="FC29" s="20"/>
      <c r="FD29" s="20"/>
      <c r="FE29" s="20"/>
      <c r="FF29" s="20"/>
      <c r="FG29" s="20"/>
      <c r="FH29" s="20"/>
      <c r="FI29" s="20"/>
      <c r="FJ29" s="20"/>
      <c r="FK29" s="20"/>
      <c r="FL29" s="20"/>
      <c r="FM29" s="20"/>
      <c r="FN29" s="20"/>
      <c r="FO29" s="20"/>
      <c r="FP29" s="20"/>
      <c r="FQ29" s="20"/>
      <c r="FR29" s="20"/>
      <c r="FS29" s="20"/>
      <c r="FT29" s="20"/>
      <c r="FU29" s="20"/>
      <c r="FV29" s="20"/>
      <c r="FW29" s="20"/>
      <c r="FX29" s="20"/>
      <c r="FY29" s="20"/>
      <c r="FZ29" s="20"/>
      <c r="GA29" s="20"/>
      <c r="GB29" s="20"/>
      <c r="GC29" s="20"/>
      <c r="GD29" s="20"/>
      <c r="GE29" s="20"/>
      <c r="GF29" s="20"/>
      <c r="GG29" s="20"/>
      <c r="GH29" s="20"/>
      <c r="GI29" s="20"/>
      <c r="GJ29" s="20"/>
      <c r="GK29" s="20"/>
      <c r="GL29" s="20"/>
      <c r="GM29" s="20"/>
      <c r="GN29" s="20"/>
      <c r="GO29" s="20"/>
      <c r="GP29" s="20"/>
      <c r="GQ29" s="20"/>
      <c r="GR29" s="20"/>
      <c r="GS29" s="20"/>
      <c r="GT29" s="20"/>
      <c r="GU29" s="20"/>
      <c r="GV29" s="20"/>
      <c r="GW29" s="20"/>
      <c r="GX29" s="20"/>
      <c r="GY29" s="20"/>
      <c r="GZ29" s="20"/>
      <c r="HA29" s="20"/>
      <c r="HB29" s="20"/>
      <c r="HC29" s="20"/>
      <c r="HD29" s="20"/>
      <c r="HE29" s="20"/>
      <c r="HF29" s="20"/>
      <c r="HG29" s="20"/>
      <c r="HH29" s="20"/>
      <c r="HI29" s="20"/>
      <c r="HJ29" s="20"/>
      <c r="HK29" s="20"/>
      <c r="HL29" s="20"/>
      <c r="HM29" s="20"/>
      <c r="HN29" s="20"/>
      <c r="HO29" s="20"/>
      <c r="HP29" s="20"/>
      <c r="HQ29" s="20"/>
      <c r="HR29" s="20"/>
      <c r="HS29" s="20"/>
      <c r="HT29" s="20"/>
      <c r="HU29" s="20"/>
      <c r="HV29" s="20"/>
    </row>
    <row r="30" spans="1:230" s="8" customFormat="1" ht="25.5" customHeight="1">
      <c r="A30" s="223"/>
      <c r="B30" s="245" t="s">
        <v>607</v>
      </c>
      <c r="C30" s="246"/>
      <c r="D30" s="246"/>
      <c r="E30" s="246"/>
      <c r="F30" s="246"/>
      <c r="G30" s="246"/>
      <c r="H30" s="246"/>
      <c r="I30" s="246"/>
      <c r="J30" s="247"/>
      <c r="K30" s="58"/>
      <c r="L30" s="83"/>
      <c r="M30" s="66"/>
      <c r="N30" s="66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48"/>
      <c r="AD30" s="48"/>
      <c r="AE30" s="48"/>
      <c r="AF30" s="48"/>
      <c r="AG30" s="48"/>
      <c r="AH30" s="48"/>
      <c r="AI30" s="48"/>
      <c r="AJ30" s="48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  <c r="DQ30" s="20"/>
      <c r="DR30" s="20"/>
      <c r="DS30" s="20"/>
      <c r="DT30" s="20"/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0"/>
      <c r="EF30" s="20"/>
      <c r="EG30" s="20"/>
      <c r="EH30" s="20"/>
      <c r="EI30" s="20"/>
      <c r="EJ30" s="20"/>
      <c r="EK30" s="20"/>
      <c r="EL30" s="20"/>
      <c r="EM30" s="20"/>
      <c r="EN30" s="20"/>
      <c r="EO30" s="20"/>
      <c r="EP30" s="20"/>
      <c r="EQ30" s="20"/>
      <c r="ER30" s="20"/>
      <c r="ES30" s="20"/>
      <c r="ET30" s="20"/>
      <c r="EU30" s="20"/>
      <c r="EV30" s="20"/>
      <c r="EW30" s="20"/>
      <c r="EX30" s="20"/>
      <c r="EY30" s="20"/>
      <c r="EZ30" s="20"/>
      <c r="FA30" s="20"/>
      <c r="FB30" s="20"/>
      <c r="FC30" s="20"/>
      <c r="FD30" s="20"/>
      <c r="FE30" s="20"/>
      <c r="FF30" s="20"/>
      <c r="FG30" s="20"/>
      <c r="FH30" s="20"/>
      <c r="FI30" s="20"/>
      <c r="FJ30" s="20"/>
      <c r="FK30" s="20"/>
      <c r="FL30" s="20"/>
      <c r="FM30" s="20"/>
      <c r="FN30" s="20"/>
      <c r="FO30" s="20"/>
      <c r="FP30" s="20"/>
      <c r="FQ30" s="20"/>
      <c r="FR30" s="20"/>
      <c r="FS30" s="20"/>
      <c r="FT30" s="20"/>
      <c r="FU30" s="20"/>
      <c r="FV30" s="20"/>
      <c r="FW30" s="20"/>
      <c r="FX30" s="20"/>
      <c r="FY30" s="20"/>
      <c r="FZ30" s="20"/>
      <c r="GA30" s="20"/>
      <c r="GB30" s="20"/>
      <c r="GC30" s="20"/>
      <c r="GD30" s="20"/>
      <c r="GE30" s="20"/>
      <c r="GF30" s="20"/>
      <c r="GG30" s="20"/>
      <c r="GH30" s="20"/>
      <c r="GI30" s="20"/>
      <c r="GJ30" s="20"/>
      <c r="GK30" s="20"/>
      <c r="GL30" s="20"/>
      <c r="GM30" s="20"/>
      <c r="GN30" s="20"/>
      <c r="GO30" s="20"/>
      <c r="GP30" s="20"/>
      <c r="GQ30" s="20"/>
      <c r="GR30" s="20"/>
      <c r="GS30" s="20"/>
      <c r="GT30" s="20"/>
      <c r="GU30" s="20"/>
      <c r="GV30" s="20"/>
      <c r="GW30" s="20"/>
      <c r="GX30" s="20"/>
      <c r="GY30" s="20"/>
      <c r="GZ30" s="20"/>
      <c r="HA30" s="20"/>
      <c r="HB30" s="20"/>
      <c r="HC30" s="20"/>
      <c r="HD30" s="20"/>
      <c r="HE30" s="20"/>
      <c r="HF30" s="20"/>
      <c r="HG30" s="20"/>
      <c r="HH30" s="20"/>
      <c r="HI30" s="20"/>
      <c r="HJ30" s="20"/>
      <c r="HK30" s="20"/>
      <c r="HL30" s="20"/>
      <c r="HM30" s="20"/>
      <c r="HN30" s="20"/>
      <c r="HO30" s="20"/>
      <c r="HP30" s="20"/>
      <c r="HQ30" s="20"/>
      <c r="HR30" s="20"/>
      <c r="HS30" s="20"/>
      <c r="HT30" s="20"/>
      <c r="HU30" s="20"/>
      <c r="HV30" s="20"/>
    </row>
    <row r="31" spans="1:230" s="8" customFormat="1" ht="25.5" customHeight="1">
      <c r="A31" s="223"/>
      <c r="B31" s="204"/>
      <c r="C31" s="205"/>
      <c r="D31" s="205"/>
      <c r="E31" s="205"/>
      <c r="F31" s="205"/>
      <c r="G31" s="205"/>
      <c r="H31" s="205"/>
      <c r="I31" s="205"/>
      <c r="J31" s="206"/>
      <c r="K31" s="58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48"/>
      <c r="AD31" s="48"/>
      <c r="AE31" s="48"/>
      <c r="AF31" s="48"/>
      <c r="AG31" s="48"/>
      <c r="AH31" s="48"/>
      <c r="AI31" s="48"/>
      <c r="AJ31" s="48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0"/>
      <c r="BP31" s="20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20"/>
      <c r="DN31" s="20"/>
      <c r="DO31" s="20"/>
      <c r="DP31" s="20"/>
      <c r="DQ31" s="20"/>
      <c r="DR31" s="20"/>
      <c r="DS31" s="20"/>
      <c r="DT31" s="20"/>
      <c r="DU31" s="20"/>
      <c r="DV31" s="20"/>
      <c r="DW31" s="20"/>
      <c r="DX31" s="20"/>
      <c r="DY31" s="20"/>
      <c r="DZ31" s="20"/>
      <c r="EA31" s="20"/>
      <c r="EB31" s="20"/>
      <c r="EC31" s="20"/>
      <c r="ED31" s="20"/>
      <c r="EE31" s="20"/>
      <c r="EF31" s="20"/>
      <c r="EG31" s="20"/>
      <c r="EH31" s="20"/>
      <c r="EI31" s="20"/>
      <c r="EJ31" s="20"/>
      <c r="EK31" s="20"/>
      <c r="EL31" s="20"/>
      <c r="EM31" s="20"/>
      <c r="EN31" s="20"/>
      <c r="EO31" s="20"/>
      <c r="EP31" s="20"/>
      <c r="EQ31" s="20"/>
      <c r="ER31" s="20"/>
      <c r="ES31" s="20"/>
      <c r="ET31" s="20"/>
      <c r="EU31" s="20"/>
      <c r="EV31" s="20"/>
      <c r="EW31" s="20"/>
      <c r="EX31" s="20"/>
      <c r="EY31" s="20"/>
      <c r="EZ31" s="20"/>
      <c r="FA31" s="20"/>
      <c r="FB31" s="20"/>
      <c r="FC31" s="20"/>
      <c r="FD31" s="20"/>
      <c r="FE31" s="20"/>
      <c r="FF31" s="20"/>
      <c r="FG31" s="20"/>
      <c r="FH31" s="20"/>
      <c r="FI31" s="20"/>
      <c r="FJ31" s="20"/>
      <c r="FK31" s="20"/>
      <c r="FL31" s="20"/>
      <c r="FM31" s="20"/>
      <c r="FN31" s="20"/>
      <c r="FO31" s="20"/>
      <c r="FP31" s="20"/>
      <c r="FQ31" s="20"/>
      <c r="FR31" s="20"/>
      <c r="FS31" s="20"/>
      <c r="FT31" s="20"/>
      <c r="FU31" s="20"/>
      <c r="FV31" s="20"/>
      <c r="FW31" s="20"/>
      <c r="FX31" s="20"/>
      <c r="FY31" s="20"/>
      <c r="FZ31" s="20"/>
      <c r="GA31" s="20"/>
      <c r="GB31" s="20"/>
      <c r="GC31" s="20"/>
      <c r="GD31" s="20"/>
      <c r="GE31" s="20"/>
      <c r="GF31" s="20"/>
      <c r="GG31" s="20"/>
      <c r="GH31" s="20"/>
      <c r="GI31" s="20"/>
      <c r="GJ31" s="20"/>
      <c r="GK31" s="20"/>
      <c r="GL31" s="20"/>
      <c r="GM31" s="20"/>
      <c r="GN31" s="20"/>
      <c r="GO31" s="20"/>
      <c r="GP31" s="20"/>
      <c r="GQ31" s="20"/>
      <c r="GR31" s="20"/>
      <c r="GS31" s="20"/>
      <c r="GT31" s="20"/>
      <c r="GU31" s="20"/>
      <c r="GV31" s="20"/>
      <c r="GW31" s="20"/>
      <c r="GX31" s="20"/>
      <c r="GY31" s="20"/>
      <c r="GZ31" s="20"/>
      <c r="HA31" s="20"/>
      <c r="HB31" s="20"/>
      <c r="HC31" s="20"/>
      <c r="HD31" s="20"/>
      <c r="HE31" s="20"/>
      <c r="HF31" s="20"/>
      <c r="HG31" s="20"/>
      <c r="HH31" s="20"/>
      <c r="HI31" s="20"/>
      <c r="HJ31" s="20"/>
      <c r="HK31" s="20"/>
      <c r="HL31" s="20"/>
      <c r="HM31" s="20"/>
      <c r="HN31" s="20"/>
      <c r="HO31" s="20"/>
      <c r="HP31" s="20"/>
      <c r="HQ31" s="20"/>
      <c r="HR31" s="20"/>
      <c r="HS31" s="20"/>
      <c r="HT31" s="20"/>
      <c r="HU31" s="20"/>
      <c r="HV31" s="20"/>
    </row>
    <row r="32" spans="1:230" s="8" customFormat="1" ht="25.5" customHeight="1">
      <c r="A32" s="223"/>
      <c r="B32" s="207"/>
      <c r="C32" s="208"/>
      <c r="D32" s="208"/>
      <c r="E32" s="208"/>
      <c r="F32" s="208"/>
      <c r="G32" s="208"/>
      <c r="H32" s="208"/>
      <c r="I32" s="208"/>
      <c r="J32" s="209"/>
      <c r="K32" s="58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48"/>
      <c r="AD32" s="48"/>
      <c r="AE32" s="48"/>
      <c r="AF32" s="48"/>
      <c r="AG32" s="48"/>
      <c r="AH32" s="48"/>
      <c r="AI32" s="48"/>
      <c r="AJ32" s="48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20"/>
      <c r="DM32" s="20"/>
      <c r="DN32" s="20"/>
      <c r="DO32" s="20"/>
      <c r="DP32" s="20"/>
      <c r="DQ32" s="20"/>
      <c r="DR32" s="20"/>
      <c r="DS32" s="20"/>
      <c r="DT32" s="20"/>
      <c r="DU32" s="20"/>
      <c r="DV32" s="20"/>
      <c r="DW32" s="20"/>
      <c r="DX32" s="20"/>
      <c r="DY32" s="20"/>
      <c r="DZ32" s="20"/>
      <c r="EA32" s="20"/>
      <c r="EB32" s="20"/>
      <c r="EC32" s="20"/>
      <c r="ED32" s="20"/>
      <c r="EE32" s="20"/>
      <c r="EF32" s="20"/>
      <c r="EG32" s="20"/>
      <c r="EH32" s="20"/>
      <c r="EI32" s="20"/>
      <c r="EJ32" s="20"/>
      <c r="EK32" s="20"/>
      <c r="EL32" s="20"/>
      <c r="EM32" s="20"/>
      <c r="EN32" s="20"/>
      <c r="EO32" s="20"/>
      <c r="EP32" s="20"/>
      <c r="EQ32" s="20"/>
      <c r="ER32" s="20"/>
      <c r="ES32" s="20"/>
      <c r="ET32" s="20"/>
      <c r="EU32" s="20"/>
      <c r="EV32" s="20"/>
      <c r="EW32" s="20"/>
      <c r="EX32" s="20"/>
      <c r="EY32" s="20"/>
      <c r="EZ32" s="20"/>
      <c r="FA32" s="20"/>
      <c r="FB32" s="20"/>
      <c r="FC32" s="20"/>
      <c r="FD32" s="20"/>
      <c r="FE32" s="20"/>
      <c r="FF32" s="20"/>
      <c r="FG32" s="20"/>
      <c r="FH32" s="20"/>
      <c r="FI32" s="20"/>
      <c r="FJ32" s="20"/>
      <c r="FK32" s="20"/>
      <c r="FL32" s="20"/>
      <c r="FM32" s="20"/>
      <c r="FN32" s="20"/>
      <c r="FO32" s="20"/>
      <c r="FP32" s="20"/>
      <c r="FQ32" s="20"/>
      <c r="FR32" s="20"/>
      <c r="FS32" s="20"/>
      <c r="FT32" s="20"/>
      <c r="FU32" s="20"/>
      <c r="FV32" s="20"/>
      <c r="FW32" s="20"/>
      <c r="FX32" s="20"/>
      <c r="FY32" s="20"/>
      <c r="FZ32" s="20"/>
      <c r="GA32" s="20"/>
      <c r="GB32" s="20"/>
      <c r="GC32" s="20"/>
      <c r="GD32" s="20"/>
      <c r="GE32" s="20"/>
      <c r="GF32" s="20"/>
      <c r="GG32" s="20"/>
      <c r="GH32" s="20"/>
      <c r="GI32" s="20"/>
      <c r="GJ32" s="20"/>
      <c r="GK32" s="20"/>
      <c r="GL32" s="20"/>
      <c r="GM32" s="20"/>
      <c r="GN32" s="20"/>
      <c r="GO32" s="20"/>
      <c r="GP32" s="20"/>
      <c r="GQ32" s="20"/>
      <c r="GR32" s="20"/>
      <c r="GS32" s="20"/>
      <c r="GT32" s="20"/>
      <c r="GU32" s="20"/>
      <c r="GV32" s="20"/>
      <c r="GW32" s="20"/>
      <c r="GX32" s="20"/>
      <c r="GY32" s="20"/>
      <c r="GZ32" s="20"/>
      <c r="HA32" s="20"/>
      <c r="HB32" s="20"/>
      <c r="HC32" s="20"/>
      <c r="HD32" s="20"/>
      <c r="HE32" s="20"/>
      <c r="HF32" s="20"/>
      <c r="HG32" s="20"/>
      <c r="HH32" s="20"/>
      <c r="HI32" s="20"/>
      <c r="HJ32" s="20"/>
      <c r="HK32" s="20"/>
      <c r="HL32" s="20"/>
      <c r="HM32" s="20"/>
      <c r="HN32" s="20"/>
      <c r="HO32" s="20"/>
      <c r="HP32" s="20"/>
      <c r="HQ32" s="20"/>
      <c r="HR32" s="20"/>
      <c r="HS32" s="20"/>
      <c r="HT32" s="20"/>
      <c r="HU32" s="20"/>
      <c r="HV32" s="20"/>
    </row>
    <row r="33" spans="1:230" s="8" customFormat="1" ht="25.5" customHeight="1">
      <c r="A33" s="223"/>
      <c r="B33" s="207"/>
      <c r="C33" s="208"/>
      <c r="D33" s="208"/>
      <c r="E33" s="208"/>
      <c r="F33" s="208"/>
      <c r="G33" s="208"/>
      <c r="H33" s="208"/>
      <c r="I33" s="208"/>
      <c r="J33" s="209"/>
      <c r="K33" s="58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48"/>
      <c r="AD33" s="48"/>
      <c r="AE33" s="48"/>
      <c r="AF33" s="48"/>
      <c r="AG33" s="48"/>
      <c r="AH33" s="48"/>
      <c r="AI33" s="48"/>
      <c r="AJ33" s="48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  <c r="CW33" s="20"/>
      <c r="CX33" s="20"/>
      <c r="CY33" s="20"/>
      <c r="CZ33" s="20"/>
      <c r="DA33" s="20"/>
      <c r="DB33" s="20"/>
      <c r="DC33" s="20"/>
      <c r="DD33" s="20"/>
      <c r="DE33" s="20"/>
      <c r="DF33" s="20"/>
      <c r="DG33" s="20"/>
      <c r="DH33" s="20"/>
      <c r="DI33" s="20"/>
      <c r="DJ33" s="20"/>
      <c r="DK33" s="20"/>
      <c r="DL33" s="20"/>
      <c r="DM33" s="20"/>
      <c r="DN33" s="20"/>
      <c r="DO33" s="20"/>
      <c r="DP33" s="20"/>
      <c r="DQ33" s="20"/>
      <c r="DR33" s="20"/>
      <c r="DS33" s="20"/>
      <c r="DT33" s="20"/>
      <c r="DU33" s="20"/>
      <c r="DV33" s="20"/>
      <c r="DW33" s="20"/>
      <c r="DX33" s="20"/>
      <c r="DY33" s="20"/>
      <c r="DZ33" s="20"/>
      <c r="EA33" s="20"/>
      <c r="EB33" s="20"/>
      <c r="EC33" s="20"/>
      <c r="ED33" s="20"/>
      <c r="EE33" s="20"/>
      <c r="EF33" s="20"/>
      <c r="EG33" s="20"/>
      <c r="EH33" s="20"/>
      <c r="EI33" s="20"/>
      <c r="EJ33" s="20"/>
      <c r="EK33" s="20"/>
      <c r="EL33" s="20"/>
      <c r="EM33" s="20"/>
      <c r="EN33" s="20"/>
      <c r="EO33" s="20"/>
      <c r="EP33" s="20"/>
      <c r="EQ33" s="20"/>
      <c r="ER33" s="20"/>
      <c r="ES33" s="20"/>
      <c r="ET33" s="20"/>
      <c r="EU33" s="20"/>
      <c r="EV33" s="20"/>
      <c r="EW33" s="20"/>
      <c r="EX33" s="20"/>
      <c r="EY33" s="20"/>
      <c r="EZ33" s="20"/>
      <c r="FA33" s="20"/>
      <c r="FB33" s="20"/>
      <c r="FC33" s="20"/>
      <c r="FD33" s="20"/>
      <c r="FE33" s="20"/>
      <c r="FF33" s="20"/>
      <c r="FG33" s="20"/>
      <c r="FH33" s="20"/>
      <c r="FI33" s="20"/>
      <c r="FJ33" s="20"/>
      <c r="FK33" s="20"/>
      <c r="FL33" s="20"/>
      <c r="FM33" s="20"/>
      <c r="FN33" s="20"/>
      <c r="FO33" s="20"/>
      <c r="FP33" s="20"/>
      <c r="FQ33" s="20"/>
      <c r="FR33" s="20"/>
      <c r="FS33" s="20"/>
      <c r="FT33" s="20"/>
      <c r="FU33" s="20"/>
      <c r="FV33" s="20"/>
      <c r="FW33" s="20"/>
      <c r="FX33" s="20"/>
      <c r="FY33" s="20"/>
      <c r="FZ33" s="20"/>
      <c r="GA33" s="20"/>
      <c r="GB33" s="20"/>
      <c r="GC33" s="20"/>
      <c r="GD33" s="20"/>
      <c r="GE33" s="20"/>
      <c r="GF33" s="20"/>
      <c r="GG33" s="20"/>
      <c r="GH33" s="20"/>
      <c r="GI33" s="20"/>
      <c r="GJ33" s="20"/>
      <c r="GK33" s="20"/>
      <c r="GL33" s="20"/>
      <c r="GM33" s="20"/>
      <c r="GN33" s="20"/>
      <c r="GO33" s="20"/>
      <c r="GP33" s="20"/>
      <c r="GQ33" s="20"/>
      <c r="GR33" s="20"/>
      <c r="GS33" s="20"/>
      <c r="GT33" s="20"/>
      <c r="GU33" s="20"/>
      <c r="GV33" s="20"/>
      <c r="GW33" s="20"/>
      <c r="GX33" s="20"/>
      <c r="GY33" s="20"/>
      <c r="GZ33" s="20"/>
      <c r="HA33" s="20"/>
      <c r="HB33" s="20"/>
      <c r="HC33" s="20"/>
      <c r="HD33" s="20"/>
      <c r="HE33" s="20"/>
      <c r="HF33" s="20"/>
      <c r="HG33" s="20"/>
      <c r="HH33" s="20"/>
      <c r="HI33" s="20"/>
      <c r="HJ33" s="20"/>
      <c r="HK33" s="20"/>
      <c r="HL33" s="20"/>
      <c r="HM33" s="20"/>
      <c r="HN33" s="20"/>
      <c r="HO33" s="20"/>
      <c r="HP33" s="20"/>
      <c r="HQ33" s="20"/>
      <c r="HR33" s="20"/>
      <c r="HS33" s="20"/>
      <c r="HT33" s="20"/>
      <c r="HU33" s="20"/>
      <c r="HV33" s="20"/>
    </row>
    <row r="34" spans="1:230" s="8" customFormat="1" ht="25.5" customHeight="1" thickBot="1">
      <c r="A34" s="224"/>
      <c r="B34" s="207"/>
      <c r="C34" s="248"/>
      <c r="D34" s="248"/>
      <c r="E34" s="248"/>
      <c r="F34" s="248"/>
      <c r="G34" s="248"/>
      <c r="H34" s="248"/>
      <c r="I34" s="248"/>
      <c r="J34" s="249"/>
      <c r="K34" s="58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45"/>
      <c r="AD34" s="45"/>
      <c r="AE34" s="45"/>
      <c r="AF34" s="45"/>
      <c r="AG34" s="45"/>
      <c r="AH34" s="45"/>
      <c r="AI34" s="45"/>
      <c r="AJ34" s="45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20"/>
      <c r="DT34" s="20"/>
      <c r="DU34" s="20"/>
      <c r="DV34" s="20"/>
      <c r="DW34" s="20"/>
      <c r="DX34" s="20"/>
      <c r="DY34" s="20"/>
      <c r="DZ34" s="20"/>
      <c r="EA34" s="20"/>
      <c r="EB34" s="20"/>
      <c r="EC34" s="20"/>
      <c r="ED34" s="20"/>
      <c r="EE34" s="20"/>
      <c r="EF34" s="20"/>
      <c r="EG34" s="20"/>
      <c r="EH34" s="20"/>
      <c r="EI34" s="20"/>
      <c r="EJ34" s="20"/>
      <c r="EK34" s="20"/>
      <c r="EL34" s="20"/>
      <c r="EM34" s="20"/>
      <c r="EN34" s="20"/>
      <c r="EO34" s="20"/>
      <c r="EP34" s="20"/>
      <c r="EQ34" s="20"/>
      <c r="ER34" s="20"/>
      <c r="ES34" s="20"/>
      <c r="ET34" s="20"/>
      <c r="EU34" s="20"/>
      <c r="EV34" s="20"/>
      <c r="EW34" s="20"/>
      <c r="EX34" s="20"/>
      <c r="EY34" s="20"/>
      <c r="EZ34" s="20"/>
      <c r="FA34" s="20"/>
      <c r="FB34" s="20"/>
      <c r="FC34" s="20"/>
      <c r="FD34" s="20"/>
      <c r="FE34" s="20"/>
      <c r="FF34" s="20"/>
      <c r="FG34" s="20"/>
      <c r="FH34" s="20"/>
      <c r="FI34" s="20"/>
      <c r="FJ34" s="20"/>
      <c r="FK34" s="20"/>
      <c r="FL34" s="20"/>
      <c r="FM34" s="20"/>
      <c r="FN34" s="20"/>
      <c r="FO34" s="20"/>
      <c r="FP34" s="20"/>
      <c r="FQ34" s="20"/>
      <c r="FR34" s="20"/>
      <c r="FS34" s="20"/>
      <c r="FT34" s="20"/>
      <c r="FU34" s="20"/>
      <c r="FV34" s="20"/>
      <c r="FW34" s="20"/>
      <c r="FX34" s="20"/>
      <c r="FY34" s="20"/>
      <c r="FZ34" s="20"/>
      <c r="GA34" s="20"/>
      <c r="GB34" s="20"/>
      <c r="GC34" s="20"/>
      <c r="GD34" s="20"/>
      <c r="GE34" s="20"/>
      <c r="GF34" s="20"/>
      <c r="GG34" s="20"/>
      <c r="GH34" s="20"/>
      <c r="GI34" s="20"/>
      <c r="GJ34" s="20"/>
      <c r="GK34" s="20"/>
      <c r="GL34" s="20"/>
      <c r="GM34" s="20"/>
      <c r="GN34" s="20"/>
      <c r="GO34" s="20"/>
      <c r="GP34" s="20"/>
      <c r="GQ34" s="20"/>
      <c r="GR34" s="20"/>
      <c r="GS34" s="20"/>
      <c r="GT34" s="20"/>
      <c r="GU34" s="20"/>
      <c r="GV34" s="20"/>
      <c r="GW34" s="20"/>
      <c r="GX34" s="20"/>
      <c r="GY34" s="20"/>
      <c r="GZ34" s="20"/>
      <c r="HA34" s="20"/>
      <c r="HB34" s="20"/>
      <c r="HC34" s="20"/>
      <c r="HD34" s="20"/>
      <c r="HE34" s="20"/>
      <c r="HF34" s="20"/>
      <c r="HG34" s="20"/>
      <c r="HH34" s="20"/>
      <c r="HI34" s="20"/>
      <c r="HJ34" s="20"/>
      <c r="HK34" s="20"/>
      <c r="HL34" s="20"/>
      <c r="HM34" s="20"/>
      <c r="HN34" s="20"/>
      <c r="HO34" s="20"/>
      <c r="HP34" s="20"/>
      <c r="HQ34" s="20"/>
      <c r="HR34" s="20"/>
      <c r="HS34" s="20"/>
      <c r="HT34" s="20"/>
      <c r="HU34" s="20"/>
      <c r="HV34" s="20"/>
    </row>
    <row r="35" spans="1:230" s="5" customFormat="1" ht="25.5" customHeight="1" thickTop="1" thickBot="1">
      <c r="A35" s="216" t="s">
        <v>608</v>
      </c>
      <c r="B35" s="87" t="s">
        <v>598</v>
      </c>
      <c r="C35" s="156">
        <f t="shared" ref="C35:J35" si="1">C18</f>
        <v>0</v>
      </c>
      <c r="D35" s="156">
        <f t="shared" si="1"/>
        <v>0</v>
      </c>
      <c r="E35" s="156">
        <f t="shared" si="1"/>
        <v>0</v>
      </c>
      <c r="F35" s="156">
        <f t="shared" si="1"/>
        <v>0</v>
      </c>
      <c r="G35" s="156">
        <f t="shared" si="1"/>
        <v>0</v>
      </c>
      <c r="H35" s="156">
        <f t="shared" si="1"/>
        <v>0</v>
      </c>
      <c r="I35" s="156">
        <f t="shared" si="1"/>
        <v>0</v>
      </c>
      <c r="J35" s="156">
        <f t="shared" si="1"/>
        <v>0</v>
      </c>
      <c r="K35" s="58"/>
      <c r="AC35" s="45"/>
      <c r="AD35" s="45"/>
      <c r="AE35" s="45"/>
      <c r="AF35" s="45"/>
      <c r="AG35" s="45"/>
      <c r="AH35" s="45"/>
      <c r="AI35" s="45"/>
      <c r="AJ35" s="45"/>
    </row>
    <row r="36" spans="1:230" s="5" customFormat="1" ht="25.5" customHeight="1" thickTop="1">
      <c r="A36" s="217"/>
      <c r="B36" s="85" t="s">
        <v>609</v>
      </c>
      <c r="C36" s="157">
        <f>IF(ROYALTY_ESPECIE_01&lt;&gt;0,ROYALTY_ESPECIE_01*VLOOKUP(Moeda_01,$P$3:$Q$8,2,FALSE),ROYALTY_PERCENTUAL_01*PrecoMKT_01)</f>
        <v>0</v>
      </c>
      <c r="D36" s="157">
        <f>IF(ROYALTY_ESPECIE_02&lt;&gt;0,ROYALTY_ESPECIE_02*VLOOKUP(Moeda_02,$P$3:$Q$8,2,FALSE),ROYALTY_PERCENTUAL_02*PrecoMKT_02)</f>
        <v>0</v>
      </c>
      <c r="E36" s="157">
        <f>IF(ROYALTY_ESPECIE_03&lt;&gt;0,ROYALTY_ESPECIE_03*VLOOKUP(Moeda_03,$P$3:$Q$8,2,FALSE),ROYALTY_PERCENTUAL_03*PrecoMKT_03)</f>
        <v>0</v>
      </c>
      <c r="F36" s="157">
        <f>IF(ROYALTY_ESPECIE_04&lt;&gt;0,ROYALTY_ESPECIE_04*VLOOKUP(Moeda_04,$P$3:$Q$8,2,FALSE),ROYALTY_PERCENTUAL_04*PrecoMKT_04)</f>
        <v>0</v>
      </c>
      <c r="G36" s="157">
        <f>IF(ROYALTY_ESPECIE_05&lt;&gt;0,ROYALTY_ESPECIE_05*VLOOKUP(Moeda_05,$P$3:$Q$8,2,FALSE),ROYALTY_PERCENTUAL_05*PrecoMKT_05)</f>
        <v>0</v>
      </c>
      <c r="H36" s="157">
        <f>IF(ROYALTY_ESPECIE_06&lt;&gt;0,ROYALTY_ESPECIE_06*VLOOKUP(Moeda_06,$P$3:$Q$8,2,FALSE),ROYALTY_PERCENTUAL_06*PrecoMKT_06)</f>
        <v>0</v>
      </c>
      <c r="I36" s="157">
        <f>IF(ROYALTY_ESPECIE_07&lt;&gt;0,ROYALTY_ESPECIE_07*VLOOKUP(Moeda_07,$P$3:$Q$8,2,FALSE),ROYALTY_PERCENTUAL_07*PrecoMKT_07)</f>
        <v>0</v>
      </c>
      <c r="J36" s="157">
        <f>IF(ROYALTY_ESPECIE_08&lt;&gt;0,ROYALTY_ESPECIE_08*VLOOKUP(Moeda_08,$P$3:$Q$8,2,FALSE),ROYALTY_PERCENTUAL_08*PrecoMKT_08)</f>
        <v>0</v>
      </c>
      <c r="K36" s="58"/>
      <c r="AC36" s="45"/>
      <c r="AD36" s="45"/>
      <c r="AE36" s="45"/>
      <c r="AF36" s="45"/>
      <c r="AG36" s="45"/>
      <c r="AH36" s="45"/>
      <c r="AI36" s="45"/>
      <c r="AJ36" s="45"/>
    </row>
    <row r="37" spans="1:230" s="5" customFormat="1" ht="25.5" customHeight="1">
      <c r="A37" s="217"/>
      <c r="B37" s="10" t="s">
        <v>610</v>
      </c>
      <c r="C37" s="158" t="s">
        <v>1122</v>
      </c>
      <c r="D37" s="158" t="s">
        <v>1122</v>
      </c>
      <c r="E37" s="158" t="s">
        <v>1122</v>
      </c>
      <c r="F37" s="158" t="s">
        <v>1122</v>
      </c>
      <c r="G37" s="158" t="s">
        <v>1122</v>
      </c>
      <c r="H37" s="158" t="s">
        <v>1122</v>
      </c>
      <c r="I37" s="158" t="s">
        <v>1122</v>
      </c>
      <c r="J37" s="158" t="s">
        <v>1122</v>
      </c>
      <c r="K37" s="58"/>
      <c r="AC37" s="45"/>
      <c r="AD37" s="45"/>
      <c r="AE37" s="45"/>
      <c r="AF37" s="45"/>
      <c r="AG37" s="45"/>
      <c r="AH37" s="45"/>
      <c r="AI37" s="45"/>
      <c r="AJ37" s="45"/>
    </row>
    <row r="38" spans="1:230" s="5" customFormat="1" ht="25.5" customHeight="1">
      <c r="A38" s="217"/>
      <c r="B38" s="11" t="s">
        <v>578</v>
      </c>
      <c r="C38" s="159" t="s">
        <v>1122</v>
      </c>
      <c r="D38" s="170" t="s">
        <v>1122</v>
      </c>
      <c r="E38" s="170" t="s">
        <v>1122</v>
      </c>
      <c r="F38" s="170" t="s">
        <v>1122</v>
      </c>
      <c r="G38" s="159" t="s">
        <v>1122</v>
      </c>
      <c r="H38" s="159" t="s">
        <v>1122</v>
      </c>
      <c r="I38" s="159" t="s">
        <v>1122</v>
      </c>
      <c r="J38" s="159" t="s">
        <v>1122</v>
      </c>
      <c r="K38" s="58"/>
      <c r="AC38" s="45"/>
      <c r="AD38" s="45"/>
      <c r="AE38" s="45"/>
      <c r="AF38" s="45"/>
      <c r="AG38" s="45"/>
      <c r="AH38" s="45"/>
      <c r="AI38" s="45"/>
      <c r="AJ38" s="45"/>
    </row>
    <row r="39" spans="1:230" s="5" customFormat="1" ht="25.5" customHeight="1">
      <c r="A39" s="217"/>
      <c r="B39" s="11" t="s">
        <v>579</v>
      </c>
      <c r="C39" s="170" t="s">
        <v>1122</v>
      </c>
      <c r="D39" s="170" t="s">
        <v>1122</v>
      </c>
      <c r="E39" s="170" t="s">
        <v>1122</v>
      </c>
      <c r="F39" s="170" t="s">
        <v>1122</v>
      </c>
      <c r="G39" s="170" t="s">
        <v>1122</v>
      </c>
      <c r="H39" s="159" t="s">
        <v>1122</v>
      </c>
      <c r="I39" s="159" t="s">
        <v>1122</v>
      </c>
      <c r="J39" s="159" t="s">
        <v>1122</v>
      </c>
      <c r="K39" s="58"/>
      <c r="AC39" s="45"/>
      <c r="AD39" s="45"/>
      <c r="AE39" s="45"/>
      <c r="AF39" s="45"/>
      <c r="AG39" s="45"/>
      <c r="AH39" s="45"/>
      <c r="AI39" s="45"/>
      <c r="AJ39" s="45"/>
    </row>
    <row r="40" spans="1:230" s="5" customFormat="1" ht="25.5" customHeight="1">
      <c r="A40" s="217"/>
      <c r="B40" s="11" t="s">
        <v>580</v>
      </c>
      <c r="C40" s="170" t="s">
        <v>1122</v>
      </c>
      <c r="D40" s="170" t="s">
        <v>1122</v>
      </c>
      <c r="E40" s="170" t="s">
        <v>1122</v>
      </c>
      <c r="F40" s="170" t="s">
        <v>1122</v>
      </c>
      <c r="G40" s="170" t="s">
        <v>1122</v>
      </c>
      <c r="H40" s="159" t="s">
        <v>1122</v>
      </c>
      <c r="I40" s="159" t="s">
        <v>1122</v>
      </c>
      <c r="J40" s="159" t="s">
        <v>1122</v>
      </c>
      <c r="K40" s="58"/>
      <c r="AC40" s="45"/>
      <c r="AD40" s="45"/>
      <c r="AE40" s="45"/>
      <c r="AF40" s="45"/>
      <c r="AG40" s="45"/>
      <c r="AH40" s="45"/>
      <c r="AI40" s="45"/>
      <c r="AJ40" s="45"/>
    </row>
    <row r="41" spans="1:230" s="5" customFormat="1" ht="25.5" customHeight="1">
      <c r="A41" s="217"/>
      <c r="B41" s="11" t="s">
        <v>581</v>
      </c>
      <c r="C41" s="170" t="s">
        <v>1122</v>
      </c>
      <c r="D41" s="170" t="s">
        <v>1122</v>
      </c>
      <c r="E41" s="170" t="s">
        <v>1122</v>
      </c>
      <c r="F41" s="170" t="s">
        <v>1122</v>
      </c>
      <c r="G41" s="170" t="s">
        <v>1122</v>
      </c>
      <c r="H41" s="159" t="s">
        <v>1122</v>
      </c>
      <c r="I41" s="159" t="s">
        <v>1122</v>
      </c>
      <c r="J41" s="159" t="s">
        <v>1122</v>
      </c>
      <c r="K41" s="58"/>
      <c r="AC41" s="45"/>
      <c r="AD41" s="45"/>
      <c r="AE41" s="45"/>
      <c r="AF41" s="45"/>
      <c r="AG41" s="45"/>
      <c r="AH41" s="45"/>
      <c r="AI41" s="45"/>
      <c r="AJ41" s="45"/>
    </row>
    <row r="42" spans="1:230" s="5" customFormat="1" ht="25.5" customHeight="1">
      <c r="A42" s="217"/>
      <c r="B42" s="11" t="s">
        <v>611</v>
      </c>
      <c r="C42" s="170" t="s">
        <v>1122</v>
      </c>
      <c r="D42" s="170" t="s">
        <v>1122</v>
      </c>
      <c r="E42" s="170" t="s">
        <v>1122</v>
      </c>
      <c r="F42" s="170" t="s">
        <v>1122</v>
      </c>
      <c r="G42" s="170" t="s">
        <v>1122</v>
      </c>
      <c r="H42" s="159" t="s">
        <v>1122</v>
      </c>
      <c r="I42" s="159" t="s">
        <v>1122</v>
      </c>
      <c r="J42" s="159" t="s">
        <v>1122</v>
      </c>
      <c r="K42" s="58"/>
      <c r="AC42" s="45"/>
      <c r="AD42" s="45"/>
      <c r="AE42" s="45"/>
      <c r="AF42" s="45"/>
      <c r="AG42" s="45"/>
      <c r="AH42" s="45"/>
      <c r="AI42" s="45"/>
      <c r="AJ42" s="45"/>
    </row>
    <row r="43" spans="1:230" s="5" customFormat="1" ht="25.5" customHeight="1">
      <c r="A43" s="217"/>
      <c r="B43" s="11" t="s">
        <v>1116</v>
      </c>
      <c r="C43" s="170" t="s">
        <v>1122</v>
      </c>
      <c r="D43" s="170" t="s">
        <v>1122</v>
      </c>
      <c r="E43" s="170" t="s">
        <v>1122</v>
      </c>
      <c r="F43" s="170" t="s">
        <v>1122</v>
      </c>
      <c r="G43" s="170" t="s">
        <v>1122</v>
      </c>
      <c r="H43" s="159" t="s">
        <v>1122</v>
      </c>
      <c r="I43" s="159" t="s">
        <v>1122</v>
      </c>
      <c r="J43" s="159" t="s">
        <v>1122</v>
      </c>
      <c r="K43" s="58"/>
      <c r="AC43" s="45"/>
      <c r="AD43" s="45"/>
      <c r="AE43" s="45"/>
      <c r="AF43" s="45"/>
      <c r="AG43" s="45"/>
      <c r="AH43" s="45"/>
      <c r="AI43" s="45"/>
      <c r="AJ43" s="45"/>
    </row>
    <row r="44" spans="1:230" s="5" customFormat="1" ht="25.5" customHeight="1">
      <c r="A44" s="217"/>
      <c r="B44" s="11" t="s">
        <v>1117</v>
      </c>
      <c r="C44" s="170" t="s">
        <v>1122</v>
      </c>
      <c r="D44" s="170" t="s">
        <v>1122</v>
      </c>
      <c r="E44" s="170" t="s">
        <v>1122</v>
      </c>
      <c r="F44" s="170" t="s">
        <v>1122</v>
      </c>
      <c r="G44" s="170" t="s">
        <v>1122</v>
      </c>
      <c r="H44" s="159" t="s">
        <v>1122</v>
      </c>
      <c r="I44" s="159" t="s">
        <v>1122</v>
      </c>
      <c r="J44" s="159" t="s">
        <v>1122</v>
      </c>
      <c r="K44" s="58"/>
      <c r="AC44" s="45"/>
      <c r="AD44" s="45"/>
      <c r="AE44" s="45"/>
      <c r="AF44" s="45"/>
      <c r="AG44" s="45"/>
      <c r="AH44" s="45"/>
      <c r="AI44" s="45"/>
      <c r="AJ44" s="45"/>
    </row>
    <row r="45" spans="1:230" s="5" customFormat="1" ht="25.5" customHeight="1">
      <c r="A45" s="217"/>
      <c r="B45" s="11" t="s">
        <v>1115</v>
      </c>
      <c r="C45" s="170" t="s">
        <v>1122</v>
      </c>
      <c r="D45" s="170" t="s">
        <v>1122</v>
      </c>
      <c r="E45" s="170" t="s">
        <v>1122</v>
      </c>
      <c r="F45" s="170" t="s">
        <v>1122</v>
      </c>
      <c r="G45" s="170" t="s">
        <v>1122</v>
      </c>
      <c r="H45" s="159" t="s">
        <v>1122</v>
      </c>
      <c r="I45" s="159" t="s">
        <v>1122</v>
      </c>
      <c r="J45" s="159" t="s">
        <v>1122</v>
      </c>
      <c r="K45" s="58"/>
      <c r="AC45" s="45"/>
      <c r="AD45" s="45"/>
      <c r="AE45" s="45"/>
      <c r="AF45" s="45"/>
      <c r="AG45" s="45"/>
      <c r="AH45" s="45"/>
      <c r="AI45" s="45"/>
      <c r="AJ45" s="45"/>
    </row>
    <row r="46" spans="1:230" s="5" customFormat="1" ht="25.5" customHeight="1">
      <c r="A46" s="217"/>
      <c r="B46" s="11" t="s">
        <v>613</v>
      </c>
      <c r="C46" s="170" t="s">
        <v>1122</v>
      </c>
      <c r="D46" s="170" t="s">
        <v>1122</v>
      </c>
      <c r="E46" s="170" t="s">
        <v>1122</v>
      </c>
      <c r="F46" s="159" t="s">
        <v>1122</v>
      </c>
      <c r="G46" s="159" t="s">
        <v>1122</v>
      </c>
      <c r="H46" s="159" t="s">
        <v>1122</v>
      </c>
      <c r="I46" s="159" t="s">
        <v>1122</v>
      </c>
      <c r="J46" s="159" t="s">
        <v>1122</v>
      </c>
      <c r="K46" s="58"/>
      <c r="AC46" s="45"/>
      <c r="AD46" s="45"/>
      <c r="AE46" s="45"/>
      <c r="AF46" s="45"/>
      <c r="AG46" s="45"/>
      <c r="AH46" s="45"/>
      <c r="AI46" s="45"/>
      <c r="AJ46" s="45"/>
    </row>
    <row r="47" spans="1:230" s="5" customFormat="1" ht="25.5" customHeight="1">
      <c r="A47" s="217"/>
      <c r="B47" s="11" t="s">
        <v>614</v>
      </c>
      <c r="C47" s="170" t="s">
        <v>1122</v>
      </c>
      <c r="D47" s="170" t="s">
        <v>1122</v>
      </c>
      <c r="E47" s="170" t="s">
        <v>1122</v>
      </c>
      <c r="F47" s="159" t="s">
        <v>1122</v>
      </c>
      <c r="G47" s="159" t="s">
        <v>1122</v>
      </c>
      <c r="H47" s="159" t="s">
        <v>1122</v>
      </c>
      <c r="I47" s="159" t="s">
        <v>1122</v>
      </c>
      <c r="J47" s="159" t="s">
        <v>1122</v>
      </c>
      <c r="K47" s="58"/>
      <c r="AC47" s="45"/>
      <c r="AD47" s="45"/>
      <c r="AE47" s="45"/>
      <c r="AF47" s="45"/>
      <c r="AG47" s="45"/>
      <c r="AH47" s="45"/>
      <c r="AI47" s="45"/>
      <c r="AJ47" s="45"/>
    </row>
    <row r="48" spans="1:230" s="5" customFormat="1" ht="25.5" customHeight="1">
      <c r="A48" s="217"/>
      <c r="B48" s="11" t="s">
        <v>615</v>
      </c>
      <c r="C48" s="159" t="s">
        <v>1122</v>
      </c>
      <c r="D48" s="170" t="s">
        <v>1122</v>
      </c>
      <c r="E48" s="170" t="s">
        <v>1122</v>
      </c>
      <c r="F48" s="159" t="s">
        <v>1122</v>
      </c>
      <c r="G48" s="159" t="s">
        <v>1122</v>
      </c>
      <c r="H48" s="159" t="s">
        <v>1122</v>
      </c>
      <c r="I48" s="159" t="s">
        <v>1122</v>
      </c>
      <c r="J48" s="159" t="s">
        <v>1122</v>
      </c>
      <c r="K48" s="58"/>
      <c r="AC48" s="45"/>
      <c r="AD48" s="45"/>
      <c r="AE48" s="45"/>
      <c r="AF48" s="45"/>
      <c r="AG48" s="45"/>
      <c r="AH48" s="45"/>
      <c r="AI48" s="45"/>
      <c r="AJ48" s="45"/>
    </row>
    <row r="49" spans="1:36" s="5" customFormat="1" ht="25.5" customHeight="1">
      <c r="A49" s="217"/>
      <c r="B49" s="11" t="s">
        <v>612</v>
      </c>
      <c r="C49" s="159" t="s">
        <v>1122</v>
      </c>
      <c r="D49" s="170" t="s">
        <v>1122</v>
      </c>
      <c r="E49" s="170" t="s">
        <v>1122</v>
      </c>
      <c r="F49" s="159" t="s">
        <v>1122</v>
      </c>
      <c r="G49" s="159" t="s">
        <v>1122</v>
      </c>
      <c r="H49" s="159" t="s">
        <v>1122</v>
      </c>
      <c r="I49" s="159" t="s">
        <v>1122</v>
      </c>
      <c r="J49" s="159" t="s">
        <v>1122</v>
      </c>
      <c r="K49" s="58"/>
      <c r="AC49" s="45"/>
      <c r="AD49" s="45"/>
      <c r="AE49" s="45"/>
      <c r="AF49" s="45"/>
      <c r="AG49" s="45"/>
      <c r="AH49" s="45"/>
      <c r="AI49" s="45"/>
      <c r="AJ49" s="45"/>
    </row>
    <row r="50" spans="1:36" s="5" customFormat="1" ht="25.5" customHeight="1">
      <c r="A50" s="217"/>
      <c r="B50" s="11" t="s">
        <v>616</v>
      </c>
      <c r="C50" s="159" t="s">
        <v>1122</v>
      </c>
      <c r="D50" s="170" t="s">
        <v>1122</v>
      </c>
      <c r="E50" s="170" t="s">
        <v>1122</v>
      </c>
      <c r="F50" s="170" t="s">
        <v>1122</v>
      </c>
      <c r="G50" s="159" t="s">
        <v>1122</v>
      </c>
      <c r="H50" s="159" t="s">
        <v>1122</v>
      </c>
      <c r="I50" s="159" t="s">
        <v>1122</v>
      </c>
      <c r="J50" s="159" t="s">
        <v>1122</v>
      </c>
      <c r="K50" s="58"/>
      <c r="AC50" s="45"/>
      <c r="AD50" s="45"/>
      <c r="AE50" s="45"/>
      <c r="AF50" s="45"/>
      <c r="AG50" s="45"/>
      <c r="AH50" s="45"/>
      <c r="AI50" s="45"/>
      <c r="AJ50" s="45"/>
    </row>
    <row r="51" spans="1:36" s="5" customFormat="1" ht="25.5" customHeight="1">
      <c r="A51" s="217"/>
      <c r="B51" s="11" t="s">
        <v>1175</v>
      </c>
      <c r="C51" s="159" t="s">
        <v>1122</v>
      </c>
      <c r="D51" s="170" t="s">
        <v>1122</v>
      </c>
      <c r="E51" s="170" t="s">
        <v>1122</v>
      </c>
      <c r="F51" s="170" t="s">
        <v>1122</v>
      </c>
      <c r="G51" s="159" t="s">
        <v>1122</v>
      </c>
      <c r="H51" s="159" t="s">
        <v>1122</v>
      </c>
      <c r="I51" s="159" t="s">
        <v>1122</v>
      </c>
      <c r="J51" s="159" t="s">
        <v>1122</v>
      </c>
      <c r="K51" s="58"/>
      <c r="AC51" s="45"/>
      <c r="AD51" s="45"/>
      <c r="AE51" s="45"/>
      <c r="AF51" s="45"/>
      <c r="AG51" s="45"/>
      <c r="AH51" s="45"/>
      <c r="AI51" s="45"/>
      <c r="AJ51" s="45"/>
    </row>
    <row r="52" spans="1:36" s="5" customFormat="1" ht="25.5" customHeight="1">
      <c r="A52" s="217"/>
      <c r="B52" s="11" t="s">
        <v>1176</v>
      </c>
      <c r="C52" s="159" t="s">
        <v>1122</v>
      </c>
      <c r="D52" s="170" t="s">
        <v>1122</v>
      </c>
      <c r="E52" s="170" t="s">
        <v>1122</v>
      </c>
      <c r="F52" s="159" t="s">
        <v>1122</v>
      </c>
      <c r="G52" s="159" t="s">
        <v>1122</v>
      </c>
      <c r="H52" s="159" t="s">
        <v>1122</v>
      </c>
      <c r="I52" s="159" t="s">
        <v>1122</v>
      </c>
      <c r="J52" s="159" t="s">
        <v>1122</v>
      </c>
      <c r="K52" s="58"/>
      <c r="AC52" s="45"/>
      <c r="AD52" s="45"/>
      <c r="AE52" s="45"/>
      <c r="AF52" s="45"/>
      <c r="AG52" s="45"/>
      <c r="AH52" s="45"/>
      <c r="AI52" s="45"/>
      <c r="AJ52" s="45"/>
    </row>
    <row r="53" spans="1:36" s="5" customFormat="1" ht="25.5" customHeight="1">
      <c r="A53" s="217"/>
      <c r="B53" s="11" t="s">
        <v>617</v>
      </c>
      <c r="C53" s="159" t="s">
        <v>1122</v>
      </c>
      <c r="D53" s="170" t="s">
        <v>1122</v>
      </c>
      <c r="E53" s="170" t="s">
        <v>1122</v>
      </c>
      <c r="F53" s="159" t="s">
        <v>1122</v>
      </c>
      <c r="G53" s="159" t="s">
        <v>1122</v>
      </c>
      <c r="H53" s="159" t="s">
        <v>1122</v>
      </c>
      <c r="I53" s="159" t="s">
        <v>1122</v>
      </c>
      <c r="J53" s="159" t="s">
        <v>1122</v>
      </c>
      <c r="K53" s="58"/>
      <c r="AC53" s="45"/>
      <c r="AD53" s="45"/>
      <c r="AE53" s="45"/>
      <c r="AF53" s="45"/>
      <c r="AG53" s="45"/>
      <c r="AH53" s="45"/>
      <c r="AI53" s="45"/>
      <c r="AJ53" s="45"/>
    </row>
    <row r="54" spans="1:36" s="5" customFormat="1" ht="25.5" customHeight="1">
      <c r="A54" s="217"/>
      <c r="B54" s="11" t="s">
        <v>618</v>
      </c>
      <c r="C54" s="159" t="s">
        <v>1122</v>
      </c>
      <c r="D54" s="170" t="s">
        <v>1122</v>
      </c>
      <c r="E54" s="170" t="s">
        <v>1122</v>
      </c>
      <c r="F54" s="159" t="s">
        <v>1122</v>
      </c>
      <c r="G54" s="159" t="s">
        <v>1122</v>
      </c>
      <c r="H54" s="159" t="s">
        <v>1122</v>
      </c>
      <c r="I54" s="159" t="s">
        <v>1122</v>
      </c>
      <c r="J54" s="159" t="s">
        <v>1122</v>
      </c>
      <c r="K54" s="58"/>
      <c r="AC54" s="45"/>
      <c r="AD54" s="45"/>
      <c r="AE54" s="45"/>
      <c r="AF54" s="45"/>
      <c r="AG54" s="45"/>
      <c r="AH54" s="45"/>
      <c r="AI54" s="45"/>
      <c r="AJ54" s="45"/>
    </row>
    <row r="55" spans="1:36" s="5" customFormat="1" ht="25.5" customHeight="1">
      <c r="A55" s="217"/>
      <c r="B55" s="11" t="s">
        <v>619</v>
      </c>
      <c r="C55" s="159" t="s">
        <v>1122</v>
      </c>
      <c r="D55" s="170" t="s">
        <v>1122</v>
      </c>
      <c r="E55" s="170" t="s">
        <v>1122</v>
      </c>
      <c r="F55" s="159" t="s">
        <v>1122</v>
      </c>
      <c r="G55" s="159" t="s">
        <v>1122</v>
      </c>
      <c r="H55" s="159" t="s">
        <v>1122</v>
      </c>
      <c r="I55" s="159" t="s">
        <v>1122</v>
      </c>
      <c r="J55" s="159" t="s">
        <v>1122</v>
      </c>
      <c r="K55" s="58"/>
      <c r="AC55" s="45"/>
      <c r="AD55" s="45"/>
      <c r="AE55" s="45"/>
      <c r="AF55" s="45"/>
      <c r="AG55" s="45"/>
      <c r="AH55" s="45"/>
      <c r="AI55" s="45"/>
      <c r="AJ55" s="45"/>
    </row>
    <row r="56" spans="1:36" s="5" customFormat="1" ht="25.5" customHeight="1">
      <c r="A56" s="217"/>
      <c r="B56" s="11" t="s">
        <v>620</v>
      </c>
      <c r="C56" s="159" t="s">
        <v>1122</v>
      </c>
      <c r="D56" s="159" t="s">
        <v>1122</v>
      </c>
      <c r="E56" s="159" t="s">
        <v>1122</v>
      </c>
      <c r="F56" s="159" t="s">
        <v>1122</v>
      </c>
      <c r="G56" s="159" t="s">
        <v>1122</v>
      </c>
      <c r="H56" s="159" t="s">
        <v>1122</v>
      </c>
      <c r="I56" s="159" t="s">
        <v>1122</v>
      </c>
      <c r="J56" s="159" t="s">
        <v>1122</v>
      </c>
      <c r="K56" s="58"/>
      <c r="AC56" s="45"/>
      <c r="AD56" s="45"/>
      <c r="AE56" s="45"/>
      <c r="AF56" s="45"/>
      <c r="AG56" s="45"/>
      <c r="AH56" s="45"/>
      <c r="AI56" s="45"/>
      <c r="AJ56" s="45"/>
    </row>
    <row r="57" spans="1:36" s="5" customFormat="1" ht="25.5" customHeight="1" thickBot="1">
      <c r="A57" s="217"/>
      <c r="B57" s="11" t="s">
        <v>582</v>
      </c>
      <c r="C57" s="159" t="s">
        <v>1122</v>
      </c>
      <c r="D57" s="159" t="s">
        <v>1122</v>
      </c>
      <c r="E57" s="159" t="s">
        <v>1122</v>
      </c>
      <c r="F57" s="159" t="s">
        <v>1122</v>
      </c>
      <c r="G57" s="159" t="s">
        <v>1122</v>
      </c>
      <c r="H57" s="159" t="s">
        <v>1122</v>
      </c>
      <c r="I57" s="159" t="s">
        <v>1122</v>
      </c>
      <c r="J57" s="159" t="s">
        <v>1122</v>
      </c>
      <c r="K57" s="58"/>
      <c r="AC57" s="45"/>
      <c r="AD57" s="45"/>
      <c r="AE57" s="45"/>
      <c r="AF57" s="45"/>
      <c r="AG57" s="45"/>
      <c r="AH57" s="45"/>
      <c r="AI57" s="45"/>
      <c r="AJ57" s="45"/>
    </row>
    <row r="58" spans="1:36" s="5" customFormat="1" ht="25.5" customHeight="1" thickBot="1">
      <c r="A58" s="217"/>
      <c r="B58" s="73" t="s">
        <v>1163</v>
      </c>
      <c r="C58" s="160">
        <f>SUM(C36:C57)</f>
        <v>0</v>
      </c>
      <c r="D58" s="160">
        <f t="shared" ref="D58:J58" si="2">SUM(D36:D57)</f>
        <v>0</v>
      </c>
      <c r="E58" s="160">
        <f t="shared" si="2"/>
        <v>0</v>
      </c>
      <c r="F58" s="160">
        <f t="shared" si="2"/>
        <v>0</v>
      </c>
      <c r="G58" s="160">
        <f t="shared" si="2"/>
        <v>0</v>
      </c>
      <c r="H58" s="160">
        <f t="shared" si="2"/>
        <v>0</v>
      </c>
      <c r="I58" s="160">
        <f t="shared" si="2"/>
        <v>0</v>
      </c>
      <c r="J58" s="160">
        <f t="shared" si="2"/>
        <v>0</v>
      </c>
      <c r="K58" s="58"/>
      <c r="AC58" s="45"/>
      <c r="AD58" s="45"/>
      <c r="AE58" s="45"/>
      <c r="AF58" s="45"/>
      <c r="AG58" s="45"/>
      <c r="AH58" s="45"/>
      <c r="AI58" s="45"/>
      <c r="AJ58" s="45"/>
    </row>
    <row r="59" spans="1:36" s="8" customFormat="1" ht="25.5" customHeight="1" thickBot="1">
      <c r="A59" s="218"/>
      <c r="B59" s="219" t="s">
        <v>584</v>
      </c>
      <c r="C59" s="220"/>
      <c r="D59" s="220"/>
      <c r="E59" s="220"/>
      <c r="F59" s="220"/>
      <c r="G59" s="220"/>
      <c r="H59" s="220"/>
      <c r="I59" s="220"/>
      <c r="J59" s="221"/>
      <c r="K59" s="58"/>
      <c r="AC59" s="47"/>
      <c r="AD59" s="47"/>
      <c r="AE59" s="47"/>
      <c r="AF59" s="47"/>
      <c r="AG59" s="47"/>
      <c r="AH59" s="47"/>
      <c r="AI59" s="47"/>
      <c r="AJ59" s="47"/>
    </row>
    <row r="60" spans="1:36" s="91" customFormat="1" ht="31.5" customHeight="1" thickTop="1" thickBot="1">
      <c r="A60" s="218"/>
      <c r="B60" s="97" t="str">
        <f>B35</f>
        <v>TIRAGEM:</v>
      </c>
      <c r="C60" s="148">
        <f>C35</f>
        <v>0</v>
      </c>
      <c r="D60" s="148">
        <f t="shared" ref="D60:J60" si="3">D35</f>
        <v>0</v>
      </c>
      <c r="E60" s="148">
        <f t="shared" si="3"/>
        <v>0</v>
      </c>
      <c r="F60" s="148">
        <f t="shared" si="3"/>
        <v>0</v>
      </c>
      <c r="G60" s="148">
        <f t="shared" si="3"/>
        <v>0</v>
      </c>
      <c r="H60" s="148">
        <f t="shared" si="3"/>
        <v>0</v>
      </c>
      <c r="I60" s="148">
        <f t="shared" si="3"/>
        <v>0</v>
      </c>
      <c r="J60" s="148">
        <f t="shared" si="3"/>
        <v>0</v>
      </c>
      <c r="K60" s="96"/>
      <c r="AC60" s="98"/>
      <c r="AD60" s="98"/>
      <c r="AE60" s="98"/>
      <c r="AF60" s="98"/>
      <c r="AG60" s="98"/>
      <c r="AH60" s="98"/>
      <c r="AI60" s="98"/>
      <c r="AJ60" s="98"/>
    </row>
    <row r="61" spans="1:36" ht="31.5" customHeight="1" thickTop="1" thickBot="1">
      <c r="B61" s="12"/>
      <c r="C61" s="161"/>
      <c r="D61" s="161"/>
      <c r="E61" s="162"/>
      <c r="F61" s="162"/>
      <c r="G61" s="162"/>
      <c r="H61" s="162"/>
      <c r="I61" s="162"/>
      <c r="J61" s="162"/>
    </row>
    <row r="62" spans="1:36" ht="30.75" customHeight="1" thickBot="1">
      <c r="B62" s="78" t="s">
        <v>1188</v>
      </c>
      <c r="C62" s="102" t="str">
        <f>IF(ISERROR(VLOOKUP(LINHA_DE_PRODUTO_01,$L$3:$N$30,3,FALSE)),"0",VLOOKUP(LINHA_DE_PRODUTO_01,$L$3:$N$30,3,FALSE))</f>
        <v>0</v>
      </c>
      <c r="D62" s="102" t="str">
        <f>IF(ISERROR(VLOOKUP(LINHA_DE_PRODUTO_02,$L$3:$N$30,3,FALSE)),"0",VLOOKUP(LINHA_DE_PRODUTO_02,$L$3:$N$30,3,FALSE))</f>
        <v>0</v>
      </c>
      <c r="E62" s="102" t="str">
        <f>IF(ISERROR(VLOOKUP(LINHA_DE_PRODUTO_03,$L$3:$N$30,3,FALSE)),"0",VLOOKUP(LINHA_DE_PRODUTO_03,$L$3:$N$30,3,FALSE))</f>
        <v>0</v>
      </c>
      <c r="F62" s="102" t="str">
        <f>IF(ISERROR(VLOOKUP(LINHA_DE_PRODUTO_04,$L$3:$N$30,3,FALSE)),"0",VLOOKUP(LINHA_DE_PRODUTO_04,$L$3:$N$30,3,FALSE))</f>
        <v>0</v>
      </c>
      <c r="G62" s="102" t="str">
        <f>IF(ISERROR(VLOOKUP(LINHA_DE_PRODUTO_05,$L$3:$N$30,3,FALSE)),"0",VLOOKUP(LINHA_DE_PRODUTO_05,$L$3:$N$30,3,FALSE))</f>
        <v>0</v>
      </c>
      <c r="H62" s="102" t="str">
        <f>IF(ISERROR(VLOOKUP(LINHA_DE_PRODUTO_06,$L$3:$N$30,3,FALSE)),"0",VLOOKUP(LINHA_DE_PRODUTO_06,$L$3:$N$30,3,FALSE))</f>
        <v>0</v>
      </c>
      <c r="I62" s="102" t="str">
        <f>IF(ISERROR(VLOOKUP(LINHA_DE_PRODUTO_07,$L$3:$N$30,3,FALSE)),"0",VLOOKUP(LINHA_DE_PRODUTO_07,$L$3:$N$30,3,FALSE))</f>
        <v>0</v>
      </c>
      <c r="J62" s="102" t="str">
        <f>IF(ISERROR(VLOOKUP(LINHA_DE_PRODUTO_08,$L$3:$N$30,3,FALSE)),"0",VLOOKUP(LINHA_DE_PRODUTO_08,$L$3:$N$30,3,FALSE))</f>
        <v>0</v>
      </c>
    </row>
    <row r="63" spans="1:36" ht="30.75" customHeight="1" thickBot="1">
      <c r="B63" s="78" t="s">
        <v>1187</v>
      </c>
      <c r="C63" s="101">
        <f>PrecoDeCompras_01*MARGEM_MINIMA_01</f>
        <v>0</v>
      </c>
      <c r="D63" s="101">
        <f>PrecoDeCompras_02*MARGEM_MINIMA_02</f>
        <v>0</v>
      </c>
      <c r="E63" s="101">
        <f>PrecoDeCompras_03*MARGEM_MINIMA_03</f>
        <v>0</v>
      </c>
      <c r="F63" s="101">
        <f>PrecoDeCompras_04*MARGEM_MINIMA_04</f>
        <v>0</v>
      </c>
      <c r="G63" s="101">
        <f>PrecoDeCompras_05*MARGEM_MINIMA_05</f>
        <v>0</v>
      </c>
      <c r="H63" s="101">
        <f>PrecoDeCompras_06*MARGEM_MINIMA_06</f>
        <v>0</v>
      </c>
      <c r="I63" s="101">
        <f>PrecoDeCompras_07*MARGEM_MINIMA_07</f>
        <v>0</v>
      </c>
      <c r="J63" s="101">
        <f>PrecoDeCompras_08*MARGEM_MINIMA_08</f>
        <v>0</v>
      </c>
    </row>
    <row r="64" spans="1:36" ht="31.5" customHeight="1" thickBot="1">
      <c r="C64" s="163"/>
      <c r="D64" s="163"/>
      <c r="E64" s="164"/>
      <c r="F64" s="164"/>
      <c r="G64" s="165"/>
      <c r="H64" s="165"/>
      <c r="I64" s="165"/>
      <c r="J64" s="165"/>
    </row>
    <row r="65" spans="2:10" ht="31.5" customHeight="1" thickBot="1">
      <c r="B65" s="78" t="s">
        <v>1171</v>
      </c>
      <c r="C65" s="172" t="s">
        <v>1122</v>
      </c>
      <c r="D65" s="172" t="s">
        <v>1122</v>
      </c>
      <c r="E65" s="172" t="s">
        <v>1122</v>
      </c>
      <c r="F65" s="172" t="s">
        <v>1122</v>
      </c>
      <c r="G65" s="110" t="s">
        <v>1122</v>
      </c>
      <c r="H65" s="110" t="s">
        <v>1122</v>
      </c>
      <c r="I65" s="110" t="s">
        <v>1122</v>
      </c>
      <c r="J65" s="110" t="s">
        <v>1122</v>
      </c>
    </row>
    <row r="66" spans="2:10" ht="31.5" customHeight="1">
      <c r="B66" s="77" t="s">
        <v>1165</v>
      </c>
      <c r="C66" s="94">
        <f>IF(ISERROR(TIRAGEM_01*ValorUnitarioMKT_01),"0",TIRAGEM_01*ValorUnitarioMKT_01)</f>
        <v>0</v>
      </c>
      <c r="D66" s="94">
        <f>IF(ISERROR(TIRAGEM_02*ValorUnitarioMKT_02),"0",TIRAGEM_02*ValorUnitarioMKT_02)</f>
        <v>0</v>
      </c>
      <c r="E66" s="94">
        <f>IF(ISERROR(TIRAGEM_03*ValorUnitarioMKT_03),"0",TIRAGEM_03*ValorUnitarioMKT_03)</f>
        <v>0</v>
      </c>
      <c r="F66" s="94">
        <f>IF(ISERROR(TIRAGEM_04*ValorUnitarioMKT_04),"0",TIRAGEM_04*ValorUnitarioMKT_04)</f>
        <v>0</v>
      </c>
      <c r="G66" s="94">
        <f>IF(ISERROR(TIRAGEM_05*ValorUnitarioMKT_05),"0",TIRAGEM_05*ValorUnitarioMKT_05)</f>
        <v>0</v>
      </c>
      <c r="H66" s="94">
        <f>IF(ISERROR(TIRAGEM_06*ValorUnitarioMKT_06),"0",TIRAGEM_06*ValorUnitarioMKT_06)</f>
        <v>0</v>
      </c>
      <c r="I66" s="94">
        <f>IF(ISERROR(TIRAGEM_07*ValorUnitarioMKT_07),"0",TIRAGEM_07*ValorUnitarioMKT_07)</f>
        <v>0</v>
      </c>
      <c r="J66" s="94">
        <f>IF(ISERROR(TIRAGEM_08*ValorUnitarioMKT_08),"0",TIRAGEM_08*ValorUnitarioMKT_08)</f>
        <v>0</v>
      </c>
    </row>
    <row r="67" spans="2:10" ht="31.5" customHeight="1">
      <c r="B67" s="76" t="s">
        <v>1172</v>
      </c>
      <c r="C67" s="93" t="str">
        <f>IF(ISERROR(PrecoMKT_01/TIRAGEM_01),"0",PrecoMKT_01/TIRAGEM_01)</f>
        <v>0</v>
      </c>
      <c r="D67" s="93" t="str">
        <f>IF(ISERROR(PrecoMKT_02/TIRAGEM_02),"0",PrecoMKT_02/TIRAGEM_02)</f>
        <v>0</v>
      </c>
      <c r="E67" s="93" t="str">
        <f>IF(ISERROR(PrecoMKT_03/TIRAGEM_03),"0",PrecoMKT_03/TIRAGEM_03)</f>
        <v>0</v>
      </c>
      <c r="F67" s="93" t="str">
        <f>IF(ISERROR(PrecoMKT_04/TIRAGEM_04),"0",PrecoMKT_04/TIRAGEM_04)</f>
        <v>0</v>
      </c>
      <c r="G67" s="93" t="str">
        <f>IF(ISERROR(PrecoMKT_05/TIRAGEM_05),"0",PrecoMKT_05/TIRAGEM_05)</f>
        <v>0</v>
      </c>
      <c r="H67" s="93" t="str">
        <f>IF(ISERROR(PrecoMKT_06/TIRAGEM_06),"0",PrecoMKT_06/TIRAGEM_06)</f>
        <v>0</v>
      </c>
      <c r="I67" s="93" t="str">
        <f>IF(ISERROR(PrecoMKT_07/TIRAGEM_07),"0",PrecoMKT_07/TIRAGEM_07)</f>
        <v>0</v>
      </c>
      <c r="J67" s="93" t="str">
        <f>IF(ISERROR(PrecoMKT_08/TIRAGEM_08),"0",PrecoMKT_08/TIRAGEM_08)</f>
        <v>0</v>
      </c>
    </row>
    <row r="68" spans="2:10" ht="31.5" customHeight="1">
      <c r="B68" s="76" t="s">
        <v>1173</v>
      </c>
      <c r="C68" s="74" t="str">
        <f>IF(ISERROR(MargemBrutaMKT_01/PrecoMKT_01),"0",MargemBrutaMKT_01/PrecoMKT_01)</f>
        <v>0</v>
      </c>
      <c r="D68" s="74" t="str">
        <f>IF(ISERROR(MargemBrutaMKT_02/PrecoMKT_02),"0",MargemBrutaMKT_02/PrecoMKT_02)</f>
        <v>0</v>
      </c>
      <c r="E68" s="74" t="str">
        <f>IF(ISERROR(MargemBrutaMKT_03/PrecoMKT_03),"0",MargemBrutaMKT_03/PrecoMKT_03)</f>
        <v>0</v>
      </c>
      <c r="F68" s="74" t="str">
        <f>IF(ISERROR(MargemBrutaMKT_04/PrecoMKT_04),"0",MargemBrutaMKT_04/PrecoMKT_04)</f>
        <v>0</v>
      </c>
      <c r="G68" s="74" t="str">
        <f>IF(ISERROR(MargemBrutaMKT_05/PrecoMKT_05),"0",MargemBrutaMKT_05/PrecoMKT_05)</f>
        <v>0</v>
      </c>
      <c r="H68" s="74" t="str">
        <f>IF(ISERROR(MargemBrutaMKT_06/PrecoMKT_06),"0",MargemBrutaMKT_06/PrecoMKT_06)</f>
        <v>0</v>
      </c>
      <c r="I68" s="74" t="str">
        <f>IF(ISERROR(MargemBrutaMKT_07/PrecoMKT_07),"0",MargemBrutaMKT_07/PrecoMKT_07)</f>
        <v>0</v>
      </c>
      <c r="J68" s="74" t="str">
        <f>IF(ISERROR(MargemBrutaMKT_08/PrecoMKT_08),"0",MargemBrutaMKT_08/PrecoMKT_08)</f>
        <v>0</v>
      </c>
    </row>
    <row r="69" spans="2:10" ht="31.5" customHeight="1">
      <c r="B69" s="76" t="s">
        <v>1170</v>
      </c>
      <c r="C69" s="93">
        <f>IF(ISERROR(PrecoMKT_01-SomaCustos_01),"0",PrecoMKT_01-SomaCustos_01)</f>
        <v>0</v>
      </c>
      <c r="D69" s="93">
        <f>IF(ISERROR(PrecoMKT_02-SomaCustos_02),"0",PrecoMKT_02-SomaCustos_02)</f>
        <v>0</v>
      </c>
      <c r="E69" s="93">
        <f>IF(ISERROR(PrecoMKT_03-SomaCustos_03),"0",PrecoMKT_03-SomaCustos_03)</f>
        <v>0</v>
      </c>
      <c r="F69" s="93">
        <f>IF(ISERROR(PrecoMKT_04-SomaCustos_04),"0",PrecoMKT_04-SomaCustos_04)</f>
        <v>0</v>
      </c>
      <c r="G69" s="93">
        <f>IF(ISERROR(PrecoMKT_05-SomaCustos_05),"0",PrecoMKT_05-SomaCustos_05)</f>
        <v>0</v>
      </c>
      <c r="H69" s="93">
        <f>IF(ISERROR(PrecoMKT_06-SomaCustos_06),"0",PrecoMKT_06-SomaCustos_06)</f>
        <v>0</v>
      </c>
      <c r="I69" s="93">
        <f>IF(ISERROR(PrecoMKT_07-SomaCustos_07),"0",PrecoMKT_07-SomaCustos_07)</f>
        <v>0</v>
      </c>
      <c r="J69" s="93">
        <f>IF(ISERROR(PrecoMKT_08-SomaCustos_08),"0",PrecoMKT_08-SomaCustos_08)</f>
        <v>0</v>
      </c>
    </row>
    <row r="70" spans="2:10" ht="31.5" customHeight="1" thickBot="1">
      <c r="C70" s="163"/>
      <c r="D70" s="163"/>
      <c r="E70" s="164"/>
      <c r="F70" s="164"/>
      <c r="G70" s="165"/>
      <c r="H70" s="165"/>
      <c r="I70" s="165"/>
      <c r="J70" s="165"/>
    </row>
    <row r="71" spans="2:10" ht="30.75" customHeight="1" thickBot="1">
      <c r="B71" s="78" t="s">
        <v>1164</v>
      </c>
      <c r="C71" s="173" t="s">
        <v>1177</v>
      </c>
      <c r="D71" s="173" t="s">
        <v>1177</v>
      </c>
      <c r="E71" s="173" t="s">
        <v>1177</v>
      </c>
      <c r="F71" s="173" t="s">
        <v>1177</v>
      </c>
      <c r="G71" s="111" t="s">
        <v>1177</v>
      </c>
      <c r="H71" s="111" t="s">
        <v>1177</v>
      </c>
      <c r="I71" s="111" t="s">
        <v>1177</v>
      </c>
      <c r="J71" s="112" t="s">
        <v>1177</v>
      </c>
    </row>
    <row r="72" spans="2:10" ht="30.75" customHeight="1" thickBot="1">
      <c r="B72" s="89" t="s">
        <v>1166</v>
      </c>
      <c r="C72" s="95">
        <f>IF(ISERROR(PrecoMKT_01*(100%-DescontoPadrao_01)),"0",PrecoMKT_01*(100%-DescontoPadrao_01))</f>
        <v>0</v>
      </c>
      <c r="D72" s="95">
        <f>IF(ISERROR(PrecoMKT_02*(100%-DescontoPadrao_02)),"0",PrecoMKT_02*(100%-DescontoPadrao_02))</f>
        <v>0</v>
      </c>
      <c r="E72" s="95">
        <f>IF(ISERROR(PrecoMKT_03*(100%-DescontoPadrao_03)),"0",PrecoMKT_03*(100%-DescontoPadrao_03))</f>
        <v>0</v>
      </c>
      <c r="F72" s="95">
        <f>IF(ISERROR(PrecoMKT_04*(100%-DescontoPadrao_04)),"0",PrecoMKT_04*(100%-DescontoPadrao_04))</f>
        <v>0</v>
      </c>
      <c r="G72" s="95">
        <f>IF(ISERROR(PrecoMKT_05*(100%-DescontoPadrao_05)),"0",PrecoMKT_05*(100%-DescontoPadrao_05))</f>
        <v>0</v>
      </c>
      <c r="H72" s="95">
        <f>IF(ISERROR(PrecoMKT_06*(100%-DescontoPadrao_06)),"0",PrecoMKT_06*(100%-DescontoPadrao_06))</f>
        <v>0</v>
      </c>
      <c r="I72" s="95">
        <f>IF(ISERROR(PrecoMKT_07*(100%-DescontoPadrao_07)),"0",PrecoMKT_07*(100%-DescontoPadrao_07))</f>
        <v>0</v>
      </c>
      <c r="J72" s="95">
        <f>IF(ISERROR(PrecoMKT_08*(100%-DescontoPadrao_08)),"0",PrecoMKT_08*(100%-DescontoPadrao_08))</f>
        <v>0</v>
      </c>
    </row>
    <row r="73" spans="2:10" ht="30.75" customHeight="1" thickBot="1">
      <c r="B73" s="78" t="s">
        <v>1165</v>
      </c>
      <c r="C73" s="172" t="s">
        <v>1122</v>
      </c>
      <c r="D73" s="172" t="s">
        <v>1122</v>
      </c>
      <c r="E73" s="172" t="s">
        <v>1122</v>
      </c>
      <c r="F73" s="172" t="s">
        <v>1122</v>
      </c>
      <c r="G73" s="110" t="s">
        <v>1122</v>
      </c>
      <c r="H73" s="110" t="s">
        <v>1122</v>
      </c>
      <c r="I73" s="110" t="s">
        <v>1122</v>
      </c>
      <c r="J73" s="113" t="s">
        <v>1122</v>
      </c>
    </row>
    <row r="74" spans="2:10" ht="30.75" customHeight="1">
      <c r="B74" s="77" t="s">
        <v>1167</v>
      </c>
      <c r="C74" s="90" t="str">
        <f>IF(ISERROR(+(PrecoDeCompras_01-SomaCustos_01)/PrecoDeCompras_01),"0",+(PrecoDeCompras_01-SomaCustos_01)/PrecoDeCompras_01)</f>
        <v>0</v>
      </c>
      <c r="D74" s="90" t="str">
        <f>IF(ISERROR(+(PrecoDeCompras_02-SomaCustos_02)/PrecoDeCompras_02),"0",+(PrecoDeCompras_02-SomaCustos_02)/PrecoDeCompras_02)</f>
        <v>0</v>
      </c>
      <c r="E74" s="90" t="str">
        <f>IF(ISERROR(+(PrecoDeCompras_03-SomaCustos_03)/PrecoDeCompras_03),"0",+(PrecoDeCompras_03-SomaCustos_03)/PrecoDeCompras_03)</f>
        <v>0</v>
      </c>
      <c r="F74" s="90" t="str">
        <f>IF(ISERROR(+(PrecoDeCompras_04-SomaCustos_04)/PrecoDeCompras_04),"0",+(PrecoDeCompras_04-SomaCustos_04)/PrecoDeCompras_04)</f>
        <v>0</v>
      </c>
      <c r="G74" s="90" t="str">
        <f>IF(ISERROR(+(PrecoDeCompras_05-SomaCustos_05)/PrecoDeCompras_05),"0",+(PrecoDeCompras_05-SomaCustos_05)/PrecoDeCompras_05)</f>
        <v>0</v>
      </c>
      <c r="H74" s="90" t="str">
        <f>IF(ISERROR(+(PrecoDeCompras_06-SomaCustos_06)/PrecoDeCompras_06),"0",+(PrecoDeCompras_06-SomaCustos_06)/PrecoDeCompras_06)</f>
        <v>0</v>
      </c>
      <c r="I74" s="90" t="str">
        <f>IF(ISERROR(+(PrecoDeCompras_07-SomaCustos_07)/PrecoDeCompras_07),"0",+(PrecoDeCompras_07-SomaCustos_07)/PrecoDeCompras_07)</f>
        <v>0</v>
      </c>
      <c r="J74" s="90" t="str">
        <f>IF(ISERROR(+(PrecoDeCompras_08-SomaCustos_08)/PrecoDeCompras_08),"0",+(PrecoDeCompras_08-SomaCustos_08)/PrecoDeCompras_08)</f>
        <v>0</v>
      </c>
    </row>
    <row r="75" spans="2:10" ht="30.75" customHeight="1">
      <c r="B75" s="76" t="s">
        <v>1168</v>
      </c>
      <c r="C75" s="93" t="str">
        <f>IF(ISERROR(PrecoDeCompras_01/TIRAGEM_01),"0",PrecoDeCompras_01/TIRAGEM_01)</f>
        <v>0</v>
      </c>
      <c r="D75" s="93" t="str">
        <f>IF(ISERROR(PrecoDeCompras_02/TIRAGEM_02),"0",PrecoDeCompras_02/TIRAGEM_02)</f>
        <v>0</v>
      </c>
      <c r="E75" s="93" t="str">
        <f>IF(ISERROR(PrecoDeCompras_03/TIRAGEM_03),"0",PrecoDeCompras_03/TIRAGEM_03)</f>
        <v>0</v>
      </c>
      <c r="F75" s="93" t="str">
        <f>IF(ISERROR(PrecoDeCompras_04/TIRAGEM_04),"0",PrecoDeCompras_04/TIRAGEM_04)</f>
        <v>0</v>
      </c>
      <c r="G75" s="93" t="str">
        <f>IF(ISERROR(PrecoDeCompras_05/TIRAGEM_05),"0",PrecoDeCompras_05/TIRAGEM_05)</f>
        <v>0</v>
      </c>
      <c r="H75" s="93" t="str">
        <f>IF(ISERROR(PrecoDeCompras_06/TIRAGEM_06),"0",PrecoDeCompras_06/TIRAGEM_06)</f>
        <v>0</v>
      </c>
      <c r="I75" s="93" t="str">
        <f>IF(ISERROR(PrecoDeCompras_07/TIRAGEM_07),"0",PrecoDeCompras_07/TIRAGEM_07)</f>
        <v>0</v>
      </c>
      <c r="J75" s="93" t="str">
        <f>IF(ISERROR(PrecoDeCompras_08/TIRAGEM_08),"0",PrecoDeCompras_08/TIRAGEM_08)</f>
        <v>0</v>
      </c>
    </row>
    <row r="76" spans="2:10" ht="30.75" customHeight="1">
      <c r="B76" s="76" t="s">
        <v>1169</v>
      </c>
      <c r="C76" s="75" t="str">
        <f>IF(ISERROR(+(PrecoDeCompras_01/PrecoMKT_01)-1),"0",+(PrecoDeCompras_01/PrecoMKT_01)-1)</f>
        <v>0</v>
      </c>
      <c r="D76" s="75" t="str">
        <f>IF(ISERROR(+(PrecoDeCompras_02/PrecoMKT_02)-1),"0",+(PrecoDeCompras_02/PrecoMKT_02)-1)</f>
        <v>0</v>
      </c>
      <c r="E76" s="75" t="str">
        <f>IF(ISERROR(+(PrecoDeCompras_03/PrecoMKT_03)-1),"0",+(PrecoDeCompras_03/PrecoMKT_03)-1)</f>
        <v>0</v>
      </c>
      <c r="F76" s="75" t="str">
        <f>IF(ISERROR(+(PrecoDeCompras_04/PrecoMKT_04)-1),"0",+(PrecoDeCompras_04/PrecoMKT_04)-1)</f>
        <v>0</v>
      </c>
      <c r="G76" s="75" t="str">
        <f>IF(ISERROR(+(PrecoDeCompras_05/PrecoMKT_05)-1),"0",+(PrecoDeCompras_05/PrecoMKT_05)-1)</f>
        <v>0</v>
      </c>
      <c r="H76" s="75" t="str">
        <f>IF(ISERROR(+(PrecoDeCompras_06/PrecoMKT_06)-1),"0",+(PrecoDeCompras_06/PrecoMKT_06)-1)</f>
        <v>0</v>
      </c>
      <c r="I76" s="75" t="str">
        <f>IF(ISERROR(+(PrecoDeCompras_07/PrecoMKT_07)-1),"0",+(PrecoDeCompras_07/PrecoMKT_07)-1)</f>
        <v>0</v>
      </c>
      <c r="J76" s="75" t="str">
        <f>IF(ISERROR(+(PrecoDeCompras_08/PrecoMKT_08)-1),"0",+(PrecoDeCompras_08/PrecoMKT_08)-1)</f>
        <v>0</v>
      </c>
    </row>
    <row r="77" spans="2:10" ht="30.75" customHeight="1">
      <c r="B77" s="76" t="s">
        <v>1170</v>
      </c>
      <c r="C77" s="93">
        <f>IF(ISERROR(PrecoTotal_01-SomaCustos_01),"0",PrecoTotal_01-SomaCustos_01)</f>
        <v>0</v>
      </c>
      <c r="D77" s="93">
        <f>IF(ISERROR(PrecoTotal_02-SomaCustos_02),"0",PrecoTotal_02-SomaCustos_02)</f>
        <v>0</v>
      </c>
      <c r="E77" s="93">
        <f>IF(ISERROR(PrecoTotal_03-SomaCustos_03),"0",PrecoTotal_03-SomaCustos_03)</f>
        <v>0</v>
      </c>
      <c r="F77" s="93">
        <f>IF(ISERROR(PrecoTotal_04-SomaCustos_04),"0",PrecoTotal_04-SomaCustos_04)</f>
        <v>0</v>
      </c>
      <c r="G77" s="93">
        <f>IF(ISERROR(PrecoTotal_05-SomaCustos_05),"0",PrecoTotal_05-SomaCustos_05)</f>
        <v>0</v>
      </c>
      <c r="H77" s="93">
        <f>IF(ISERROR(PrecoTotal_06-SomaCustos_06),"0",PrecoTotal_06-SomaCustos_06)</f>
        <v>0</v>
      </c>
      <c r="I77" s="93">
        <f>IF(ISERROR(PrecoTotal_07-SomaCustos_07),"0",PrecoTotal_07-SomaCustos_07)</f>
        <v>0</v>
      </c>
      <c r="J77" s="93">
        <f>IF(ISERROR(PrecoTotal_08-SomaCustos_08),"0",PrecoTotal_08-SomaCustos_08)</f>
        <v>0</v>
      </c>
    </row>
    <row r="78" spans="2:10" ht="31.5" customHeight="1">
      <c r="C78" s="166"/>
      <c r="D78" s="166"/>
      <c r="E78" s="167"/>
      <c r="F78" s="167"/>
      <c r="G78" s="168"/>
      <c r="H78" s="168"/>
      <c r="I78" s="168"/>
      <c r="J78" s="168"/>
    </row>
    <row r="79" spans="2:10" ht="30.75" customHeight="1">
      <c r="B79" s="92" t="s">
        <v>1184</v>
      </c>
      <c r="C79" s="117">
        <v>0.90749999999999997</v>
      </c>
      <c r="D79" s="166"/>
      <c r="E79" s="167"/>
      <c r="F79" s="167"/>
      <c r="G79" s="168"/>
      <c r="H79" s="168"/>
      <c r="I79" s="168"/>
      <c r="J79" s="168"/>
    </row>
    <row r="80" spans="2:10" ht="30.75" customHeight="1">
      <c r="B80" s="92" t="s">
        <v>1185</v>
      </c>
      <c r="C80" s="117">
        <v>0.85750000000000004</v>
      </c>
      <c r="D80" s="163"/>
      <c r="E80" s="164"/>
      <c r="F80" s="164"/>
      <c r="G80" s="165"/>
      <c r="H80" s="165"/>
      <c r="I80" s="165"/>
      <c r="J80" s="165"/>
    </row>
    <row r="81" spans="2:10" ht="31.5" customHeight="1" thickBot="1">
      <c r="C81" s="163"/>
      <c r="D81" s="163"/>
      <c r="E81" s="164"/>
      <c r="F81" s="164"/>
      <c r="G81" s="165"/>
      <c r="H81" s="165"/>
      <c r="I81" s="165"/>
      <c r="J81" s="165"/>
    </row>
    <row r="82" spans="2:10" ht="31.5" customHeight="1">
      <c r="B82" s="103" t="s">
        <v>1183</v>
      </c>
      <c r="C82" s="104">
        <f>IF(C15="PRODUTO",IF(ISERROR(+PrecoMKT_01/PRODUTO),"",+PrecoMKT_01/PRODUTO),IF(ISERROR(+PrecoMKT_01/SERVICO),"",+PrecoMKT_01/SERVICO))</f>
        <v>0</v>
      </c>
      <c r="D82" s="104">
        <f>IF(D15="PRODUTO",IF(ISERROR(+PrecoMKT_02/PRODUTO),"",+PrecoMKT_02/PRODUTO),IF(ISERROR(+PrecoMKT_02/SERVICO),"",+PrecoMKT_02/SERVICO))</f>
        <v>0</v>
      </c>
      <c r="E82" s="104">
        <f>IF(E15="PRODUTO",IF(ISERROR(+PrecoMKT_03/PRODUTO),"",+PrecoMKT_03/PRODUTO),IF(ISERROR(+PrecoMKT_03/SERVICO),"",+PrecoMKT_03/SERVICO))</f>
        <v>0</v>
      </c>
      <c r="F82" s="104">
        <f>IF(F15="PRODUTO",IF(ISERROR(+PrecoMKT_04/PRODUTO),"",+PrecoMKT_04/PRODUTO),IF(ISERROR(+PrecoMKT_04/SERVICO),"",+PrecoMKT_04/SERVICO))</f>
        <v>0</v>
      </c>
      <c r="G82" s="104">
        <f>IF(G15="PRODUTO",IF(ISERROR(+PrecoMKT_05/PRODUTO),"",+PrecoMKT_05/PRODUTO),IF(ISERROR(+PrecoMKT_05/SERVICO),"",+PrecoMKT_05/SERVICO))</f>
        <v>0</v>
      </c>
      <c r="H82" s="104">
        <f>IF(H15="PRODUTO",IF(ISERROR(+PrecoMKT_06/PRODUTO),"",+PrecoMKT_06/PRODUTO),IF(ISERROR(+PrecoMKT_06/SERVICO),"",+PrecoMKT_06/SERVICO))</f>
        <v>0</v>
      </c>
      <c r="I82" s="104">
        <f>IF(I15="PRODUTO",IF(ISERROR(+PrecoMKT_07/PRODUTO),"",+PrecoMKT_07/PRODUTO),IF(ISERROR(+PrecoMKT_07/SERVICO),"",+PrecoMKT_07/SERVICO))</f>
        <v>0</v>
      </c>
      <c r="J82" s="105">
        <f>IF(J15="PRODUTO",IF(ISERROR(+PrecoMKT_08/PRODUTO),"",+PrecoMKT_08/PRODUTO),IF(ISERROR(+PrecoMKT_08/SERVICO),"",+PrecoMKT_08/SERVICO))</f>
        <v>0</v>
      </c>
    </row>
    <row r="83" spans="2:10" ht="31.5" customHeight="1">
      <c r="B83" s="106" t="s">
        <v>1182</v>
      </c>
      <c r="C83" s="171" t="s">
        <v>1122</v>
      </c>
      <c r="D83" s="171" t="s">
        <v>1122</v>
      </c>
      <c r="E83" s="171" t="s">
        <v>1122</v>
      </c>
      <c r="F83" s="171" t="s">
        <v>1122</v>
      </c>
      <c r="G83" s="114">
        <v>0</v>
      </c>
      <c r="H83" s="114">
        <v>0</v>
      </c>
      <c r="I83" s="114">
        <v>0</v>
      </c>
      <c r="J83" s="115">
        <v>0</v>
      </c>
    </row>
    <row r="84" spans="2:10" ht="31.5" customHeight="1" thickBot="1">
      <c r="B84" s="107" t="s">
        <v>1181</v>
      </c>
      <c r="C84" s="108" t="str">
        <f>IF(ISERROR(+ARREDONDAMENT0_01/TIRAGEM_01),"0",+ARREDONDAMENT0_01/TIRAGEM_01)</f>
        <v>0</v>
      </c>
      <c r="D84" s="108" t="str">
        <f>IF(ISERROR(+ARREDONDAMENT0_02/TIRAGEM_02),"0",+ARREDONDAMENT0_02/TIRAGEM_02)</f>
        <v>0</v>
      </c>
      <c r="E84" s="108" t="str">
        <f>IF(ISERROR(+ARREDONDAMENT0_03/TIRAGEM_03),"0",+ARREDONDAMENT0_03/TIRAGEM_03)</f>
        <v>0</v>
      </c>
      <c r="F84" s="108" t="str">
        <f>IF(ISERROR(+ARREDONDAMENT0_04/TIRAGEM_04),"0",+ARREDONDAMENT0_04/TIRAGEM_04)</f>
        <v>0</v>
      </c>
      <c r="G84" s="108" t="str">
        <f>IF(ISERROR(+ARREDONDAMENT0_05/TIRAGEM_05),"0",+ARREDONDAMENT0_05/TIRAGEM_05)</f>
        <v>0</v>
      </c>
      <c r="H84" s="108" t="str">
        <f>IF(ISERROR(+ARREDONDAMENT0_06/TIRAGEM_06),"0",+ARREDONDAMENT0_06/TIRAGEM_06)</f>
        <v>0</v>
      </c>
      <c r="I84" s="108" t="str">
        <f>IF(ISERROR(+ARREDONDAMENT0_07/TIRAGEM_07),"0",+ARREDONDAMENT0_07/TIRAGEM_07)</f>
        <v>0</v>
      </c>
      <c r="J84" s="109" t="str">
        <f>IF(ISERROR(+ARREDONDAMENT0_08/TIRAGEM_08),"0",+ARREDONDAMENT0_08/TIRAGEM_08)</f>
        <v>0</v>
      </c>
    </row>
    <row r="85" spans="2:10" ht="31.5" customHeight="1">
      <c r="C85" s="163"/>
      <c r="D85" s="163"/>
      <c r="E85" s="164"/>
      <c r="F85" s="164"/>
      <c r="G85" s="165"/>
      <c r="H85" s="165"/>
      <c r="I85" s="165"/>
      <c r="J85" s="165"/>
    </row>
    <row r="86" spans="2:10" ht="31.5" customHeight="1">
      <c r="B86" s="76" t="s">
        <v>1186</v>
      </c>
      <c r="C86" s="100">
        <f>IF(ISERROR(PRECO_VENDA_GROSS_01*FASCICULOS_01),"",PRECO_VENDA_GROSS_01*FASCICULOS_01)</f>
        <v>0</v>
      </c>
      <c r="D86" s="100">
        <f>IF(ISERROR(PRECO_VENDA_GROSS_02*FASCICULOS_02),"",PRECO_VENDA_GROSS_02*FASCICULOS_02)</f>
        <v>0</v>
      </c>
      <c r="E86" s="100">
        <f>IF(ISERROR(PRECO_VENDA_GROSS_03*FASCICULOS_03),"",PRECO_VENDA_GROSS_03*FASCICULOS_03)</f>
        <v>0</v>
      </c>
      <c r="F86" s="100">
        <f>IF(ISERROR(PRECO_VENDA_GROSS_04*FASCICULOS_04),"",PRECO_VENDA_GROSS_04*FASCICULOS_04)</f>
        <v>0</v>
      </c>
      <c r="G86" s="100">
        <f>IF(ISERROR(PRECO_VENDA_GROSS_05*FASCICULOS_05),"",PRECO_VENDA_GROSS_05*FASCICULOS_05)</f>
        <v>0</v>
      </c>
      <c r="H86" s="100">
        <f>IF(ISERROR(PRECO_VENDA_GROSS_06*FASCICULOS_06),"",PRECO_VENDA_GROSS_06*FASCICULOS_06)</f>
        <v>0</v>
      </c>
      <c r="I86" s="100">
        <f>IF(ISERROR(PRECO_VENDA_GROSS_07*FASCICULOS_07),"",PRECO_VENDA_GROSS_07*FASCICULOS_07)</f>
        <v>0</v>
      </c>
      <c r="J86" s="100">
        <f>IF(ISERROR(PRECO_VENDA_GROSS_08*FASCICULOS_08),"",PRECO_VENDA_GROSS_08*FASCICULOS_08)</f>
        <v>0</v>
      </c>
    </row>
    <row r="1048508" spans="1:252" s="19" customFormat="1">
      <c r="A1048508" s="3"/>
      <c r="B1048508" s="34" t="s">
        <v>1120</v>
      </c>
      <c r="E1048508" s="3"/>
      <c r="F1048508" s="3"/>
      <c r="G1048508" s="13"/>
      <c r="H1048508" s="13"/>
      <c r="I1048508" s="13"/>
      <c r="J1048508" s="13"/>
      <c r="K1048508" s="59"/>
      <c r="L1048508" s="3"/>
      <c r="M1048508" s="3"/>
      <c r="N1048508" s="3"/>
      <c r="O1048508" s="3"/>
      <c r="P1048508" s="3"/>
      <c r="Q1048508" s="3"/>
      <c r="R1048508" s="3"/>
      <c r="S1048508" s="3"/>
      <c r="T1048508" s="3"/>
      <c r="U1048508" s="3"/>
      <c r="V1048508" s="3"/>
      <c r="W1048508" s="3"/>
      <c r="X1048508" s="3"/>
      <c r="Y1048508" s="3"/>
      <c r="Z1048508" s="3"/>
      <c r="AA1048508" s="3"/>
      <c r="AB1048508" s="3"/>
      <c r="AC1048508" s="49"/>
      <c r="AD1048508" s="49"/>
      <c r="AE1048508" s="49"/>
      <c r="AF1048508" s="49"/>
      <c r="AG1048508" s="49"/>
      <c r="AH1048508" s="49"/>
      <c r="AI1048508" s="49"/>
      <c r="AJ1048508" s="49"/>
      <c r="AK1048508"/>
      <c r="AL1048508"/>
      <c r="AM1048508" s="3"/>
      <c r="AN1048508" s="3"/>
      <c r="AO1048508" s="3"/>
      <c r="AP1048508" s="3"/>
      <c r="AQ1048508" s="3"/>
      <c r="AR1048508" s="3"/>
      <c r="AS1048508" s="3"/>
      <c r="AT1048508" s="3"/>
      <c r="AU1048508" s="3"/>
      <c r="AV1048508" s="3"/>
      <c r="AW1048508" s="3"/>
      <c r="AX1048508" s="3"/>
      <c r="AY1048508" s="3"/>
      <c r="AZ1048508" s="3"/>
      <c r="BA1048508" s="3"/>
      <c r="BB1048508" s="3"/>
      <c r="BC1048508" s="3"/>
      <c r="BD1048508" s="3"/>
      <c r="BE1048508" s="3"/>
      <c r="BF1048508" s="3"/>
      <c r="BG1048508" s="3"/>
      <c r="BH1048508" s="3"/>
      <c r="BI1048508" s="3"/>
      <c r="BJ1048508" s="3"/>
      <c r="BK1048508" s="3"/>
      <c r="BL1048508" s="3"/>
      <c r="BM1048508" s="3"/>
      <c r="BN1048508" s="3"/>
      <c r="BO1048508" s="3"/>
      <c r="BP1048508" s="3"/>
      <c r="BQ1048508" s="3"/>
      <c r="BR1048508" s="3"/>
      <c r="BS1048508" s="3"/>
      <c r="BT1048508" s="3"/>
      <c r="BU1048508" s="3"/>
      <c r="BV1048508" s="3"/>
      <c r="BW1048508" s="3"/>
      <c r="BX1048508" s="3"/>
      <c r="BY1048508" s="3"/>
      <c r="BZ1048508" s="3"/>
      <c r="CA1048508" s="3"/>
      <c r="CB1048508" s="3"/>
      <c r="CC1048508" s="3"/>
      <c r="CD1048508" s="3"/>
      <c r="CE1048508" s="3"/>
      <c r="CF1048508" s="3"/>
      <c r="CG1048508" s="3"/>
      <c r="CH1048508" s="3"/>
      <c r="CI1048508" s="3"/>
      <c r="CJ1048508" s="3"/>
      <c r="CK1048508" s="3"/>
      <c r="CL1048508" s="3"/>
      <c r="CM1048508" s="3"/>
      <c r="CN1048508" s="3"/>
      <c r="CO1048508" s="3"/>
      <c r="CP1048508" s="3"/>
      <c r="CQ1048508" s="3"/>
      <c r="CR1048508" s="3"/>
      <c r="CS1048508" s="3"/>
      <c r="CT1048508" s="3"/>
      <c r="CU1048508" s="3"/>
      <c r="CV1048508" s="3"/>
      <c r="CW1048508" s="3"/>
      <c r="CX1048508" s="3"/>
      <c r="CY1048508" s="3"/>
      <c r="CZ1048508" s="3"/>
      <c r="DA1048508" s="3"/>
      <c r="DB1048508" s="3"/>
      <c r="DC1048508" s="3"/>
      <c r="DD1048508" s="3"/>
      <c r="DE1048508" s="3"/>
      <c r="DF1048508" s="3"/>
      <c r="DG1048508" s="3"/>
      <c r="DH1048508" s="3"/>
      <c r="DI1048508" s="3"/>
      <c r="DJ1048508" s="3"/>
      <c r="DK1048508" s="3"/>
      <c r="DL1048508" s="3"/>
      <c r="DM1048508" s="3"/>
      <c r="DN1048508" s="3"/>
      <c r="DO1048508" s="3"/>
      <c r="DP1048508" s="3"/>
      <c r="DQ1048508" s="3"/>
      <c r="DR1048508" s="3"/>
      <c r="DS1048508" s="3"/>
      <c r="DT1048508" s="3"/>
      <c r="DU1048508" s="3"/>
      <c r="DV1048508" s="3"/>
      <c r="DW1048508" s="3"/>
      <c r="DX1048508" s="3"/>
      <c r="DY1048508" s="3"/>
      <c r="DZ1048508" s="3"/>
      <c r="EA1048508" s="3"/>
      <c r="EB1048508" s="3"/>
      <c r="EC1048508" s="3"/>
      <c r="ED1048508" s="3"/>
      <c r="EE1048508" s="3"/>
      <c r="EF1048508" s="3"/>
      <c r="EG1048508" s="3"/>
      <c r="EH1048508" s="3"/>
      <c r="EI1048508" s="3"/>
      <c r="EJ1048508" s="3"/>
      <c r="EK1048508" s="3"/>
      <c r="EL1048508" s="3"/>
      <c r="EM1048508" s="3"/>
      <c r="EN1048508" s="3"/>
      <c r="EO1048508" s="3"/>
      <c r="EP1048508" s="3"/>
      <c r="EQ1048508" s="3"/>
      <c r="ER1048508" s="3"/>
      <c r="ES1048508" s="3"/>
      <c r="ET1048508" s="3"/>
      <c r="EU1048508" s="3"/>
      <c r="EV1048508" s="3"/>
      <c r="EW1048508" s="3"/>
      <c r="EX1048508" s="3"/>
      <c r="EY1048508" s="3"/>
      <c r="EZ1048508" s="3"/>
      <c r="FA1048508" s="3"/>
      <c r="FB1048508" s="3"/>
      <c r="FC1048508" s="3"/>
      <c r="FD1048508" s="3"/>
      <c r="FE1048508" s="3"/>
      <c r="FF1048508" s="3"/>
      <c r="FG1048508" s="3"/>
      <c r="FH1048508" s="3"/>
      <c r="FI1048508" s="3"/>
      <c r="FJ1048508" s="3"/>
      <c r="FK1048508" s="3"/>
      <c r="FL1048508" s="3"/>
      <c r="FM1048508" s="3"/>
      <c r="FN1048508" s="3"/>
      <c r="FO1048508" s="3"/>
      <c r="FP1048508" s="3"/>
      <c r="FQ1048508" s="3"/>
      <c r="FR1048508" s="3"/>
      <c r="FS1048508" s="3"/>
      <c r="FT1048508" s="3"/>
      <c r="FU1048508" s="3"/>
      <c r="FV1048508" s="3"/>
      <c r="FW1048508" s="3"/>
      <c r="FX1048508" s="3"/>
      <c r="FY1048508" s="3"/>
      <c r="FZ1048508" s="3"/>
      <c r="GA1048508" s="3"/>
      <c r="GB1048508" s="3"/>
      <c r="GC1048508" s="3"/>
      <c r="GD1048508" s="3"/>
      <c r="GE1048508" s="3"/>
      <c r="GF1048508" s="3"/>
      <c r="GG1048508" s="3"/>
      <c r="GH1048508" s="3"/>
      <c r="GI1048508" s="3"/>
      <c r="GJ1048508" s="3"/>
      <c r="GK1048508" s="3"/>
      <c r="GL1048508" s="3"/>
      <c r="GM1048508" s="3"/>
      <c r="GN1048508" s="3"/>
      <c r="GO1048508" s="3"/>
      <c r="GP1048508" s="3"/>
      <c r="GQ1048508" s="3"/>
      <c r="GR1048508" s="3"/>
      <c r="GS1048508" s="3"/>
      <c r="GT1048508" s="3"/>
      <c r="GU1048508" s="3"/>
      <c r="GV1048508" s="3"/>
      <c r="GW1048508" s="3"/>
      <c r="GX1048508" s="3"/>
      <c r="GY1048508" s="3"/>
      <c r="GZ1048508" s="3"/>
      <c r="HA1048508" s="3"/>
      <c r="HB1048508" s="3"/>
      <c r="HC1048508" s="3"/>
      <c r="HD1048508" s="3"/>
      <c r="HE1048508" s="3"/>
      <c r="HF1048508" s="3"/>
      <c r="HG1048508" s="3"/>
      <c r="HH1048508" s="3"/>
      <c r="HI1048508" s="3"/>
      <c r="HJ1048508" s="3"/>
      <c r="HK1048508" s="3"/>
      <c r="HL1048508" s="3"/>
      <c r="HM1048508" s="3"/>
      <c r="HN1048508" s="3"/>
      <c r="HO1048508" s="3"/>
      <c r="HP1048508" s="3"/>
      <c r="HQ1048508" s="3"/>
      <c r="HR1048508" s="3"/>
      <c r="HS1048508" s="3"/>
      <c r="HT1048508" s="3"/>
      <c r="HU1048508" s="3"/>
      <c r="HV1048508" s="3"/>
      <c r="HW1048508" s="3"/>
      <c r="HX1048508" s="3"/>
      <c r="HY1048508" s="3"/>
      <c r="HZ1048508" s="3"/>
      <c r="IA1048508" s="3"/>
      <c r="IB1048508" s="3"/>
      <c r="IC1048508" s="3"/>
      <c r="ID1048508" s="3"/>
      <c r="IE1048508" s="3"/>
      <c r="IF1048508" s="3"/>
      <c r="IG1048508" s="3"/>
      <c r="IH1048508" s="3"/>
      <c r="II1048508" s="3"/>
      <c r="IJ1048508" s="3"/>
      <c r="IK1048508" s="3"/>
      <c r="IL1048508" s="3"/>
      <c r="IM1048508" s="3"/>
      <c r="IN1048508" s="3"/>
      <c r="IO1048508" s="3"/>
      <c r="IP1048508" s="3"/>
      <c r="IQ1048508" s="3"/>
      <c r="IR1048508" s="3"/>
    </row>
    <row r="1048509" spans="1:252" s="19" customFormat="1">
      <c r="A1048509" s="3"/>
      <c r="B1048509" s="34" t="s">
        <v>1119</v>
      </c>
      <c r="E1048509" s="3"/>
      <c r="F1048509" s="3"/>
      <c r="G1048509" s="13"/>
      <c r="H1048509" s="13"/>
      <c r="I1048509" s="13"/>
      <c r="J1048509" s="13"/>
      <c r="K1048509" s="59"/>
      <c r="L1048509" s="3"/>
      <c r="M1048509" s="3"/>
      <c r="N1048509" s="3"/>
      <c r="O1048509" s="3"/>
      <c r="P1048509" s="3"/>
      <c r="Q1048509" s="3"/>
      <c r="R1048509" s="3"/>
      <c r="S1048509" s="3"/>
      <c r="T1048509" s="3"/>
      <c r="U1048509" s="3"/>
      <c r="V1048509" s="3"/>
      <c r="W1048509" s="3"/>
      <c r="X1048509" s="3"/>
      <c r="Y1048509" s="3"/>
      <c r="Z1048509" s="3"/>
      <c r="AA1048509" s="3"/>
      <c r="AB1048509" s="3"/>
      <c r="AC1048509" s="49"/>
      <c r="AD1048509" s="49"/>
      <c r="AE1048509" s="49"/>
      <c r="AF1048509" s="49"/>
      <c r="AG1048509" s="49"/>
      <c r="AH1048509" s="49"/>
      <c r="AI1048509" s="49"/>
      <c r="AJ1048509" s="49"/>
      <c r="AK1048509"/>
      <c r="AL1048509"/>
      <c r="AM1048509" s="3"/>
      <c r="AN1048509" s="3"/>
      <c r="AO1048509" s="3"/>
      <c r="AP1048509" s="3"/>
      <c r="AQ1048509" s="3"/>
      <c r="AR1048509" s="3"/>
      <c r="AS1048509" s="3"/>
      <c r="AT1048509" s="3"/>
      <c r="AU1048509" s="3"/>
      <c r="AV1048509" s="3"/>
      <c r="AW1048509" s="3"/>
      <c r="AX1048509" s="3"/>
      <c r="AY1048509" s="3"/>
      <c r="AZ1048509" s="3"/>
      <c r="BA1048509" s="3"/>
      <c r="BB1048509" s="3"/>
      <c r="BC1048509" s="3"/>
      <c r="BD1048509" s="3"/>
      <c r="BE1048509" s="3"/>
      <c r="BF1048509" s="3"/>
      <c r="BG1048509" s="3"/>
      <c r="BH1048509" s="3"/>
      <c r="BI1048509" s="3"/>
      <c r="BJ1048509" s="3"/>
      <c r="BK1048509" s="3"/>
      <c r="BL1048509" s="3"/>
      <c r="BM1048509" s="3"/>
      <c r="BN1048509" s="3"/>
      <c r="BO1048509" s="3"/>
      <c r="BP1048509" s="3"/>
      <c r="BQ1048509" s="3"/>
      <c r="BR1048509" s="3"/>
      <c r="BS1048509" s="3"/>
      <c r="BT1048509" s="3"/>
      <c r="BU1048509" s="3"/>
      <c r="BV1048509" s="3"/>
      <c r="BW1048509" s="3"/>
      <c r="BX1048509" s="3"/>
      <c r="BY1048509" s="3"/>
      <c r="BZ1048509" s="3"/>
      <c r="CA1048509" s="3"/>
      <c r="CB1048509" s="3"/>
      <c r="CC1048509" s="3"/>
      <c r="CD1048509" s="3"/>
      <c r="CE1048509" s="3"/>
      <c r="CF1048509" s="3"/>
      <c r="CG1048509" s="3"/>
      <c r="CH1048509" s="3"/>
      <c r="CI1048509" s="3"/>
      <c r="CJ1048509" s="3"/>
      <c r="CK1048509" s="3"/>
      <c r="CL1048509" s="3"/>
      <c r="CM1048509" s="3"/>
      <c r="CN1048509" s="3"/>
      <c r="CO1048509" s="3"/>
      <c r="CP1048509" s="3"/>
      <c r="CQ1048509" s="3"/>
      <c r="CR1048509" s="3"/>
      <c r="CS1048509" s="3"/>
      <c r="CT1048509" s="3"/>
      <c r="CU1048509" s="3"/>
      <c r="CV1048509" s="3"/>
      <c r="CW1048509" s="3"/>
      <c r="CX1048509" s="3"/>
      <c r="CY1048509" s="3"/>
      <c r="CZ1048509" s="3"/>
      <c r="DA1048509" s="3"/>
      <c r="DB1048509" s="3"/>
      <c r="DC1048509" s="3"/>
      <c r="DD1048509" s="3"/>
      <c r="DE1048509" s="3"/>
      <c r="DF1048509" s="3"/>
      <c r="DG1048509" s="3"/>
      <c r="DH1048509" s="3"/>
      <c r="DI1048509" s="3"/>
      <c r="DJ1048509" s="3"/>
      <c r="DK1048509" s="3"/>
      <c r="DL1048509" s="3"/>
      <c r="DM1048509" s="3"/>
      <c r="DN1048509" s="3"/>
      <c r="DO1048509" s="3"/>
      <c r="DP1048509" s="3"/>
      <c r="DQ1048509" s="3"/>
      <c r="DR1048509" s="3"/>
      <c r="DS1048509" s="3"/>
      <c r="DT1048509" s="3"/>
      <c r="DU1048509" s="3"/>
      <c r="DV1048509" s="3"/>
      <c r="DW1048509" s="3"/>
      <c r="DX1048509" s="3"/>
      <c r="DY1048509" s="3"/>
      <c r="DZ1048509" s="3"/>
      <c r="EA1048509" s="3"/>
      <c r="EB1048509" s="3"/>
      <c r="EC1048509" s="3"/>
      <c r="ED1048509" s="3"/>
      <c r="EE1048509" s="3"/>
      <c r="EF1048509" s="3"/>
      <c r="EG1048509" s="3"/>
      <c r="EH1048509" s="3"/>
      <c r="EI1048509" s="3"/>
      <c r="EJ1048509" s="3"/>
      <c r="EK1048509" s="3"/>
      <c r="EL1048509" s="3"/>
      <c r="EM1048509" s="3"/>
      <c r="EN1048509" s="3"/>
      <c r="EO1048509" s="3"/>
      <c r="EP1048509" s="3"/>
      <c r="EQ1048509" s="3"/>
      <c r="ER1048509" s="3"/>
      <c r="ES1048509" s="3"/>
      <c r="ET1048509" s="3"/>
      <c r="EU1048509" s="3"/>
      <c r="EV1048509" s="3"/>
      <c r="EW1048509" s="3"/>
      <c r="EX1048509" s="3"/>
      <c r="EY1048509" s="3"/>
      <c r="EZ1048509" s="3"/>
      <c r="FA1048509" s="3"/>
      <c r="FB1048509" s="3"/>
      <c r="FC1048509" s="3"/>
      <c r="FD1048509" s="3"/>
      <c r="FE1048509" s="3"/>
      <c r="FF1048509" s="3"/>
      <c r="FG1048509" s="3"/>
      <c r="FH1048509" s="3"/>
      <c r="FI1048509" s="3"/>
      <c r="FJ1048509" s="3"/>
      <c r="FK1048509" s="3"/>
      <c r="FL1048509" s="3"/>
      <c r="FM1048509" s="3"/>
      <c r="FN1048509" s="3"/>
      <c r="FO1048509" s="3"/>
      <c r="FP1048509" s="3"/>
      <c r="FQ1048509" s="3"/>
      <c r="FR1048509" s="3"/>
      <c r="FS1048509" s="3"/>
      <c r="FT1048509" s="3"/>
      <c r="FU1048509" s="3"/>
      <c r="FV1048509" s="3"/>
      <c r="FW1048509" s="3"/>
      <c r="FX1048509" s="3"/>
      <c r="FY1048509" s="3"/>
      <c r="FZ1048509" s="3"/>
      <c r="GA1048509" s="3"/>
      <c r="GB1048509" s="3"/>
      <c r="GC1048509" s="3"/>
      <c r="GD1048509" s="3"/>
      <c r="GE1048509" s="3"/>
      <c r="GF1048509" s="3"/>
      <c r="GG1048509" s="3"/>
      <c r="GH1048509" s="3"/>
      <c r="GI1048509" s="3"/>
      <c r="GJ1048509" s="3"/>
      <c r="GK1048509" s="3"/>
      <c r="GL1048509" s="3"/>
      <c r="GM1048509" s="3"/>
      <c r="GN1048509" s="3"/>
      <c r="GO1048509" s="3"/>
      <c r="GP1048509" s="3"/>
      <c r="GQ1048509" s="3"/>
      <c r="GR1048509" s="3"/>
      <c r="GS1048509" s="3"/>
      <c r="GT1048509" s="3"/>
      <c r="GU1048509" s="3"/>
      <c r="GV1048509" s="3"/>
      <c r="GW1048509" s="3"/>
      <c r="GX1048509" s="3"/>
      <c r="GY1048509" s="3"/>
      <c r="GZ1048509" s="3"/>
      <c r="HA1048509" s="3"/>
      <c r="HB1048509" s="3"/>
      <c r="HC1048509" s="3"/>
      <c r="HD1048509" s="3"/>
      <c r="HE1048509" s="3"/>
      <c r="HF1048509" s="3"/>
      <c r="HG1048509" s="3"/>
      <c r="HH1048509" s="3"/>
      <c r="HI1048509" s="3"/>
      <c r="HJ1048509" s="3"/>
      <c r="HK1048509" s="3"/>
      <c r="HL1048509" s="3"/>
      <c r="HM1048509" s="3"/>
      <c r="HN1048509" s="3"/>
      <c r="HO1048509" s="3"/>
      <c r="HP1048509" s="3"/>
      <c r="HQ1048509" s="3"/>
      <c r="HR1048509" s="3"/>
      <c r="HS1048509" s="3"/>
      <c r="HT1048509" s="3"/>
      <c r="HU1048509" s="3"/>
      <c r="HV1048509" s="3"/>
      <c r="HW1048509" s="3"/>
      <c r="HX1048509" s="3"/>
      <c r="HY1048509" s="3"/>
      <c r="HZ1048509" s="3"/>
      <c r="IA1048509" s="3"/>
      <c r="IB1048509" s="3"/>
      <c r="IC1048509" s="3"/>
      <c r="ID1048509" s="3"/>
      <c r="IE1048509" s="3"/>
      <c r="IF1048509" s="3"/>
      <c r="IG1048509" s="3"/>
      <c r="IH1048509" s="3"/>
      <c r="II1048509" s="3"/>
      <c r="IJ1048509" s="3"/>
      <c r="IK1048509" s="3"/>
      <c r="IL1048509" s="3"/>
      <c r="IM1048509" s="3"/>
      <c r="IN1048509" s="3"/>
      <c r="IO1048509" s="3"/>
      <c r="IP1048509" s="3"/>
      <c r="IQ1048509" s="3"/>
      <c r="IR1048509" s="3"/>
    </row>
  </sheetData>
  <sheetProtection password="CB66" sheet="1" objects="1" scenarios="1"/>
  <dataConsolidate/>
  <mergeCells count="33">
    <mergeCell ref="A35:A58"/>
    <mergeCell ref="A59:A60"/>
    <mergeCell ref="B59:J59"/>
    <mergeCell ref="A3:A34"/>
    <mergeCell ref="C3:E3"/>
    <mergeCell ref="G3:H3"/>
    <mergeCell ref="C4:E4"/>
    <mergeCell ref="G4:H4"/>
    <mergeCell ref="C5:H5"/>
    <mergeCell ref="B6:B7"/>
    <mergeCell ref="C6:H7"/>
    <mergeCell ref="C8:J8"/>
    <mergeCell ref="C9:J9"/>
    <mergeCell ref="B24:J24"/>
    <mergeCell ref="B34:J34"/>
    <mergeCell ref="B30:J30"/>
    <mergeCell ref="B31:J31"/>
    <mergeCell ref="B32:J32"/>
    <mergeCell ref="B33:J33"/>
    <mergeCell ref="AC1:AD1"/>
    <mergeCell ref="C10:J10"/>
    <mergeCell ref="B11:J11"/>
    <mergeCell ref="AF1:AG1"/>
    <mergeCell ref="AI1:AJ1"/>
    <mergeCell ref="B2:J2"/>
    <mergeCell ref="I4:I7"/>
    <mergeCell ref="J4:J7"/>
    <mergeCell ref="B1:J1"/>
    <mergeCell ref="L1:N1"/>
    <mergeCell ref="P1:Q1"/>
    <mergeCell ref="S1:T1"/>
    <mergeCell ref="V1:Z1"/>
    <mergeCell ref="W3:Z3"/>
  </mergeCells>
  <conditionalFormatting sqref="C12:J12">
    <cfRule type="expression" dxfId="1" priority="2">
      <formula>$K$12&lt;&gt;"OK"</formula>
    </cfRule>
  </conditionalFormatting>
  <conditionalFormatting sqref="J4:J7">
    <cfRule type="expression" dxfId="0" priority="1">
      <formula>$K$4&lt;&gt;"OK"</formula>
    </cfRule>
  </conditionalFormatting>
  <dataValidations count="21">
    <dataValidation type="list" allowBlank="1" showInputMessage="1" showErrorMessage="1" sqref="C13:J13">
      <formula1>LINHA</formula1>
    </dataValidation>
    <dataValidation type="list" errorStyle="warning" errorTitle="Validação" error="Favor preencher conforme a lista!" sqref="HY4:IA4">
      <formula1>#REF!</formula1>
    </dataValidation>
    <dataValidation type="list" allowBlank="1" sqref="IF3 HY17:IF17 HX31:IF31 HY25:IF29">
      <formula1>#REF!</formula1>
    </dataValidation>
    <dataValidation type="list" allowBlank="1" errorTitle="Validação" error="Favor preencher conforme a lista!" sqref="HY8:IF9">
      <formula1>#REF!</formula1>
    </dataValidation>
    <dataValidation type="list" allowBlank="1" sqref="IC5:ID5">
      <formula1>$L$3:$L$15</formula1>
    </dataValidation>
    <dataValidation type="list" allowBlank="1" sqref="HY15:IF15">
      <formula1>$S$3:$S$4</formula1>
    </dataValidation>
    <dataValidation type="list" allowBlank="1" sqref="HY20:IF20">
      <formula1>$P$3:$P$6</formula1>
    </dataValidation>
    <dataValidation type="whole" operator="greaterThanOrEqual" allowBlank="1" showInputMessage="1" showErrorMessage="1" errorTitle="Validar campo &quot;REVISÃO&quot;" error="Este campo deve ter valor maior ou igual a 0 &quot;Zero&quot;" sqref="IK3">
      <formula1>0</formula1>
    </dataValidation>
    <dataValidation type="list" allowBlank="1" showInputMessage="1" showErrorMessage="1" sqref="C17:J17">
      <formula1>IDIOMAS</formula1>
    </dataValidation>
    <dataValidation type="list" allowBlank="1" showInputMessage="1" showErrorMessage="1" sqref="C25:J25">
      <formula1>TIPO</formula1>
    </dataValidation>
    <dataValidation type="list" allowBlank="1" showInputMessage="1" showErrorMessage="1" sqref="C26:J26">
      <formula1>PAPEL</formula1>
    </dataValidation>
    <dataValidation type="list" allowBlank="1" showInputMessage="1" showErrorMessage="1" sqref="C27:J27">
      <formula1>NPAGINAS</formula1>
    </dataValidation>
    <dataValidation type="list" allowBlank="1" showInputMessage="1" showErrorMessage="1" sqref="G28:J28 C28:E28">
      <formula1>IMPRESSAO</formula1>
    </dataValidation>
    <dataValidation type="list" allowBlank="1" showInputMessage="1" showErrorMessage="1" sqref="G29:J29 C29:E29">
      <formula1>FORMATO</formula1>
    </dataValidation>
    <dataValidation type="list" allowBlank="1" showInputMessage="1" showErrorMessage="1" sqref="B31:J31">
      <formula1>ACABAMENTO</formula1>
    </dataValidation>
    <dataValidation allowBlank="1" showInputMessage="1" sqref="B24:J24"/>
    <dataValidation type="list" allowBlank="1" sqref="C15:J15">
      <formula1>VENDAS</formula1>
    </dataValidation>
    <dataValidation type="list" allowBlank="1" sqref="C20:J20">
      <formula1>MOEDA</formula1>
    </dataValidation>
    <dataValidation type="list" allowBlank="1" showInputMessage="1" showErrorMessage="1" sqref="C8:J8">
      <formula1>PUBLISHER</formula1>
    </dataValidation>
    <dataValidation type="list" allowBlank="1" showInputMessage="1" showErrorMessage="1" sqref="C9:J9">
      <formula1>JOURNAL</formula1>
    </dataValidation>
    <dataValidation type="list" allowBlank="1" showInputMessage="1" showErrorMessage="1" sqref="C4:E4">
      <formula1>CLIENTES</formula1>
    </dataValidation>
  </dataValidations>
  <hyperlinks>
    <hyperlink ref="B1" r:id="rId1" display="\\wkhserver\sistema de orçamentos\dbOrcamentos-v03_121112-1515.mdb"/>
  </hyperlinks>
  <printOptions horizontalCentered="1"/>
  <pageMargins left="0" right="0" top="0.39370078740157483" bottom="0.35433070866141736" header="0.23622047244094491" footer="0.15748031496062992"/>
  <pageSetup paperSize="9" scale="32" orientation="portrait" r:id="rId2"/>
  <headerFooter alignWithMargins="0">
    <oddHeader>&amp;LOrçamento Nº &amp;A&amp;R&amp;F</oddHeader>
    <oddFooter>&amp;R&amp;D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L857"/>
  <sheetViews>
    <sheetView zoomScale="62" zoomScaleNormal="62" workbookViewId="0">
      <pane ySplit="1" topLeftCell="A2" activePane="bottomLeft" state="frozen"/>
      <selection activeCell="C4" sqref="C4:E4"/>
      <selection pane="bottomLeft" activeCell="J2" sqref="J2:J5"/>
    </sheetView>
  </sheetViews>
  <sheetFormatPr defaultRowHeight="15"/>
  <cols>
    <col min="1" max="1" width="77.85546875" style="24" bestFit="1" customWidth="1"/>
    <col min="2" max="2" width="62.5703125" style="24" bestFit="1" customWidth="1"/>
    <col min="3" max="3" width="30.28515625" style="24" bestFit="1" customWidth="1"/>
    <col min="4" max="4" width="78" style="24" bestFit="1" customWidth="1"/>
    <col min="5" max="5" width="13" style="24" bestFit="1" customWidth="1"/>
    <col min="6" max="6" width="28" style="24" bestFit="1" customWidth="1"/>
    <col min="7" max="7" width="29.42578125" style="24" bestFit="1" customWidth="1"/>
    <col min="8" max="8" width="13.5703125" style="24" bestFit="1" customWidth="1"/>
    <col min="9" max="9" width="15.140625" style="24" bestFit="1" customWidth="1"/>
    <col min="10" max="10" width="37.42578125" style="24" bestFit="1" customWidth="1"/>
    <col min="11" max="16384" width="9.140625" style="28"/>
  </cols>
  <sheetData>
    <row r="1" spans="1:12" s="21" customFormat="1">
      <c r="A1" s="22" t="s">
        <v>597</v>
      </c>
      <c r="B1" s="22" t="s">
        <v>595</v>
      </c>
      <c r="C1" s="22" t="s">
        <v>668</v>
      </c>
      <c r="D1" s="22" t="s">
        <v>607</v>
      </c>
      <c r="E1" s="22" t="s">
        <v>669</v>
      </c>
      <c r="F1" s="22" t="s">
        <v>585</v>
      </c>
      <c r="G1" s="22" t="s">
        <v>577</v>
      </c>
      <c r="H1" s="22" t="s">
        <v>744</v>
      </c>
      <c r="I1" s="22" t="s">
        <v>745</v>
      </c>
      <c r="J1" s="22" t="s">
        <v>640</v>
      </c>
      <c r="L1" s="27"/>
    </row>
    <row r="2" spans="1:12">
      <c r="A2" s="23" t="s">
        <v>670</v>
      </c>
      <c r="B2" s="23" t="s">
        <v>624</v>
      </c>
      <c r="C2" s="23" t="s">
        <v>1285</v>
      </c>
      <c r="D2" s="23" t="s">
        <v>503</v>
      </c>
      <c r="E2" s="23" t="s">
        <v>508</v>
      </c>
      <c r="F2" s="23" t="s">
        <v>511</v>
      </c>
      <c r="G2" s="23" t="s">
        <v>523</v>
      </c>
      <c r="H2" s="23">
        <v>1</v>
      </c>
      <c r="I2" s="23" t="s">
        <v>563</v>
      </c>
      <c r="J2" s="23" t="s">
        <v>641</v>
      </c>
    </row>
    <row r="3" spans="1:12">
      <c r="A3" s="23" t="s">
        <v>671</v>
      </c>
      <c r="B3" s="23" t="s">
        <v>413</v>
      </c>
      <c r="C3" s="23" t="s">
        <v>1286</v>
      </c>
      <c r="D3" s="23" t="s">
        <v>504</v>
      </c>
      <c r="E3" s="23" t="s">
        <v>1118</v>
      </c>
      <c r="F3" s="23" t="s">
        <v>512</v>
      </c>
      <c r="G3" s="23" t="s">
        <v>524</v>
      </c>
      <c r="H3" s="23">
        <v>2</v>
      </c>
      <c r="I3" s="23" t="s">
        <v>564</v>
      </c>
      <c r="J3" s="23" t="s">
        <v>643</v>
      </c>
    </row>
    <row r="4" spans="1:12">
      <c r="A4" s="23" t="s">
        <v>672</v>
      </c>
      <c r="B4" s="23" t="s">
        <v>414</v>
      </c>
      <c r="C4" s="23" t="s">
        <v>1284</v>
      </c>
      <c r="D4" s="23" t="s">
        <v>505</v>
      </c>
      <c r="E4" s="23" t="s">
        <v>509</v>
      </c>
      <c r="F4" s="23" t="s">
        <v>513</v>
      </c>
      <c r="G4" s="23" t="s">
        <v>525</v>
      </c>
      <c r="H4" s="23">
        <v>4</v>
      </c>
      <c r="I4" s="23" t="s">
        <v>565</v>
      </c>
      <c r="J4" s="23" t="s">
        <v>645</v>
      </c>
    </row>
    <row r="5" spans="1:12">
      <c r="A5" s="23" t="s">
        <v>673</v>
      </c>
      <c r="B5" s="23" t="s">
        <v>415</v>
      </c>
      <c r="C5" s="23" t="s">
        <v>1287</v>
      </c>
      <c r="D5" s="23" t="s">
        <v>506</v>
      </c>
      <c r="E5" s="23" t="s">
        <v>510</v>
      </c>
      <c r="F5" s="23" t="s">
        <v>514</v>
      </c>
      <c r="G5" s="23" t="s">
        <v>526</v>
      </c>
      <c r="H5" s="23">
        <v>8</v>
      </c>
      <c r="I5" s="23" t="s">
        <v>566</v>
      </c>
      <c r="J5" s="23" t="s">
        <v>571</v>
      </c>
    </row>
    <row r="6" spans="1:12">
      <c r="A6" s="23" t="s">
        <v>674</v>
      </c>
      <c r="B6" s="23" t="s">
        <v>416</v>
      </c>
      <c r="C6" s="23" t="s">
        <v>1270</v>
      </c>
      <c r="D6" s="23" t="s">
        <v>507</v>
      </c>
      <c r="E6" s="23"/>
      <c r="F6" s="23" t="s">
        <v>515</v>
      </c>
      <c r="G6" s="23" t="s">
        <v>527</v>
      </c>
      <c r="H6" s="23">
        <v>12</v>
      </c>
      <c r="I6" s="23" t="s">
        <v>567</v>
      </c>
      <c r="J6" s="23"/>
    </row>
    <row r="7" spans="1:12">
      <c r="A7" s="23" t="s">
        <v>675</v>
      </c>
      <c r="B7" s="23" t="s">
        <v>417</v>
      </c>
      <c r="C7" s="23" t="s">
        <v>478</v>
      </c>
      <c r="D7" s="23"/>
      <c r="E7" s="23"/>
      <c r="F7" s="23" t="s">
        <v>516</v>
      </c>
      <c r="G7" s="23" t="s">
        <v>528</v>
      </c>
      <c r="H7" s="23">
        <v>16</v>
      </c>
      <c r="I7" s="23" t="s">
        <v>568</v>
      </c>
      <c r="J7" s="23"/>
    </row>
    <row r="8" spans="1:12">
      <c r="A8" s="23" t="s">
        <v>676</v>
      </c>
      <c r="B8" s="23" t="s">
        <v>418</v>
      </c>
      <c r="C8" s="23" t="s">
        <v>479</v>
      </c>
      <c r="D8" s="23"/>
      <c r="E8" s="23"/>
      <c r="F8" s="23" t="s">
        <v>517</v>
      </c>
      <c r="G8" s="23" t="s">
        <v>529</v>
      </c>
      <c r="H8" s="23">
        <v>20</v>
      </c>
      <c r="I8" s="23" t="s">
        <v>569</v>
      </c>
      <c r="J8" s="23"/>
    </row>
    <row r="9" spans="1:12">
      <c r="A9" s="23" t="s">
        <v>677</v>
      </c>
      <c r="B9" s="23" t="s">
        <v>419</v>
      </c>
      <c r="C9" s="23" t="s">
        <v>625</v>
      </c>
      <c r="D9" s="23"/>
      <c r="E9" s="23"/>
      <c r="F9" s="23" t="s">
        <v>518</v>
      </c>
      <c r="G9" s="23" t="s">
        <v>530</v>
      </c>
      <c r="H9" s="23">
        <v>24</v>
      </c>
      <c r="I9" s="23" t="s">
        <v>570</v>
      </c>
      <c r="J9" s="23"/>
    </row>
    <row r="10" spans="1:12">
      <c r="A10" s="23" t="s">
        <v>678</v>
      </c>
      <c r="B10" s="23" t="s">
        <v>420</v>
      </c>
      <c r="C10" s="23" t="s">
        <v>626</v>
      </c>
      <c r="D10" s="23"/>
      <c r="E10" s="23"/>
      <c r="F10" s="23" t="s">
        <v>519</v>
      </c>
      <c r="G10" s="23" t="s">
        <v>531</v>
      </c>
      <c r="H10" s="23">
        <v>28</v>
      </c>
      <c r="I10" s="23"/>
      <c r="J10" s="23"/>
    </row>
    <row r="11" spans="1:12">
      <c r="A11" s="23" t="s">
        <v>679</v>
      </c>
      <c r="B11" s="23" t="s">
        <v>421</v>
      </c>
      <c r="C11" s="23" t="s">
        <v>627</v>
      </c>
      <c r="D11" s="23"/>
      <c r="E11" s="23"/>
      <c r="F11" s="23" t="s">
        <v>520</v>
      </c>
      <c r="G11" s="23" t="s">
        <v>532</v>
      </c>
      <c r="H11" s="23">
        <v>32</v>
      </c>
      <c r="I11" s="23"/>
      <c r="J11" s="23"/>
    </row>
    <row r="12" spans="1:12">
      <c r="A12" s="23" t="s">
        <v>680</v>
      </c>
      <c r="B12" s="23" t="s">
        <v>422</v>
      </c>
      <c r="C12" s="23" t="s">
        <v>480</v>
      </c>
      <c r="D12" s="23"/>
      <c r="E12" s="23"/>
      <c r="F12" s="23" t="s">
        <v>541</v>
      </c>
      <c r="G12" s="23" t="s">
        <v>533</v>
      </c>
      <c r="H12" s="23">
        <v>36</v>
      </c>
      <c r="I12" s="23"/>
      <c r="J12" s="23"/>
    </row>
    <row r="13" spans="1:12">
      <c r="A13" s="23" t="s">
        <v>681</v>
      </c>
      <c r="B13" s="23" t="s">
        <v>423</v>
      </c>
      <c r="C13" s="23" t="s">
        <v>628</v>
      </c>
      <c r="D13" s="23"/>
      <c r="E13" s="23"/>
      <c r="F13" s="23" t="s">
        <v>541</v>
      </c>
      <c r="G13" s="23" t="s">
        <v>534</v>
      </c>
      <c r="H13" s="23">
        <v>40</v>
      </c>
      <c r="I13" s="23"/>
      <c r="J13" s="23"/>
    </row>
    <row r="14" spans="1:12">
      <c r="A14" s="23" t="s">
        <v>682</v>
      </c>
      <c r="B14" s="23" t="s">
        <v>424</v>
      </c>
      <c r="C14" s="23" t="s">
        <v>629</v>
      </c>
      <c r="D14" s="23"/>
      <c r="E14" s="23"/>
      <c r="F14" s="23" t="s">
        <v>521</v>
      </c>
      <c r="G14" s="23" t="s">
        <v>535</v>
      </c>
      <c r="H14" s="23">
        <v>44</v>
      </c>
      <c r="I14" s="23"/>
      <c r="J14" s="23"/>
    </row>
    <row r="15" spans="1:12">
      <c r="A15" s="23" t="s">
        <v>683</v>
      </c>
      <c r="B15" s="23" t="s">
        <v>425</v>
      </c>
      <c r="C15" s="23" t="s">
        <v>1271</v>
      </c>
      <c r="D15" s="23"/>
      <c r="E15" s="23"/>
      <c r="F15" s="23" t="s">
        <v>522</v>
      </c>
      <c r="G15" s="23" t="s">
        <v>536</v>
      </c>
      <c r="H15" s="23">
        <v>48</v>
      </c>
      <c r="I15" s="23"/>
      <c r="J15" s="23"/>
    </row>
    <row r="16" spans="1:12">
      <c r="A16" s="23" t="s">
        <v>684</v>
      </c>
      <c r="B16" s="23" t="s">
        <v>426</v>
      </c>
      <c r="C16" s="23" t="s">
        <v>630</v>
      </c>
      <c r="D16" s="23"/>
      <c r="E16" s="23"/>
      <c r="F16" s="23"/>
      <c r="G16" s="23" t="s">
        <v>537</v>
      </c>
      <c r="H16" s="23">
        <v>52</v>
      </c>
      <c r="I16" s="23"/>
      <c r="J16" s="23"/>
    </row>
    <row r="17" spans="1:10">
      <c r="A17" s="23" t="s">
        <v>685</v>
      </c>
      <c r="B17" s="23" t="s">
        <v>427</v>
      </c>
      <c r="C17" s="23" t="s">
        <v>631</v>
      </c>
      <c r="D17" s="23"/>
      <c r="E17" s="23"/>
      <c r="F17" s="23"/>
      <c r="G17" s="23" t="s">
        <v>538</v>
      </c>
      <c r="H17" s="23">
        <v>56</v>
      </c>
      <c r="I17" s="23"/>
      <c r="J17" s="23"/>
    </row>
    <row r="18" spans="1:10">
      <c r="A18" s="23" t="s">
        <v>686</v>
      </c>
      <c r="B18" s="23" t="s">
        <v>428</v>
      </c>
      <c r="C18" s="23" t="s">
        <v>481</v>
      </c>
      <c r="D18" s="23"/>
      <c r="E18" s="23"/>
      <c r="F18" s="23"/>
      <c r="G18" s="23" t="s">
        <v>539</v>
      </c>
      <c r="H18" s="23">
        <v>60</v>
      </c>
      <c r="I18" s="23"/>
      <c r="J18" s="23"/>
    </row>
    <row r="19" spans="1:10">
      <c r="A19" s="23" t="s">
        <v>687</v>
      </c>
      <c r="B19" s="23" t="s">
        <v>429</v>
      </c>
      <c r="C19" s="23" t="s">
        <v>482</v>
      </c>
      <c r="D19" s="23"/>
      <c r="E19" s="23"/>
      <c r="F19" s="23"/>
      <c r="G19" s="23" t="s">
        <v>540</v>
      </c>
      <c r="H19" s="23">
        <v>64</v>
      </c>
      <c r="I19" s="23"/>
      <c r="J19" s="23"/>
    </row>
    <row r="20" spans="1:10">
      <c r="A20" s="23" t="s">
        <v>688</v>
      </c>
      <c r="B20" s="23" t="s">
        <v>430</v>
      </c>
      <c r="C20" s="24" t="s">
        <v>1272</v>
      </c>
      <c r="D20" s="23"/>
      <c r="E20" s="23"/>
      <c r="F20" s="23"/>
      <c r="G20" s="23" t="s">
        <v>541</v>
      </c>
      <c r="H20" s="23">
        <v>68</v>
      </c>
      <c r="I20" s="23"/>
      <c r="J20" s="23"/>
    </row>
    <row r="21" spans="1:10">
      <c r="A21" s="23" t="s">
        <v>689</v>
      </c>
      <c r="B21" s="23" t="s">
        <v>431</v>
      </c>
      <c r="C21" s="24" t="s">
        <v>483</v>
      </c>
      <c r="D21" s="23"/>
      <c r="E21" s="23"/>
      <c r="F21" s="23"/>
      <c r="G21" s="23" t="s">
        <v>542</v>
      </c>
      <c r="H21" s="23">
        <v>72</v>
      </c>
      <c r="I21" s="23"/>
      <c r="J21" s="23"/>
    </row>
    <row r="22" spans="1:10">
      <c r="A22" s="23" t="s">
        <v>690</v>
      </c>
      <c r="B22" s="24" t="s">
        <v>432</v>
      </c>
      <c r="C22" s="24" t="s">
        <v>633</v>
      </c>
      <c r="G22" s="24" t="s">
        <v>543</v>
      </c>
      <c r="H22" s="24">
        <v>76</v>
      </c>
    </row>
    <row r="23" spans="1:10">
      <c r="A23" s="23" t="s">
        <v>691</v>
      </c>
      <c r="B23" s="24" t="s">
        <v>433</v>
      </c>
      <c r="C23" s="24" t="s">
        <v>1273</v>
      </c>
      <c r="G23" s="24" t="s">
        <v>544</v>
      </c>
      <c r="H23" s="24">
        <v>80</v>
      </c>
    </row>
    <row r="24" spans="1:10">
      <c r="A24" s="23" t="s">
        <v>692</v>
      </c>
      <c r="B24" s="24" t="s">
        <v>434</v>
      </c>
      <c r="C24" s="24" t="s">
        <v>1274</v>
      </c>
      <c r="G24" s="24" t="s">
        <v>545</v>
      </c>
      <c r="H24" s="24">
        <v>84</v>
      </c>
    </row>
    <row r="25" spans="1:10">
      <c r="A25" s="23" t="s">
        <v>693</v>
      </c>
      <c r="B25" s="24" t="s">
        <v>435</v>
      </c>
      <c r="C25" s="24" t="s">
        <v>634</v>
      </c>
      <c r="G25" s="24" t="s">
        <v>546</v>
      </c>
      <c r="H25" s="24">
        <v>88</v>
      </c>
    </row>
    <row r="26" spans="1:10">
      <c r="A26" s="23" t="s">
        <v>694</v>
      </c>
      <c r="B26" s="24" t="s">
        <v>436</v>
      </c>
      <c r="C26" s="24" t="s">
        <v>635</v>
      </c>
      <c r="G26" s="24" t="s">
        <v>547</v>
      </c>
      <c r="H26" s="24">
        <v>92</v>
      </c>
    </row>
    <row r="27" spans="1:10">
      <c r="A27" s="23" t="s">
        <v>695</v>
      </c>
      <c r="B27" s="24" t="s">
        <v>437</v>
      </c>
      <c r="C27" s="24" t="s">
        <v>484</v>
      </c>
      <c r="G27" s="24" t="s">
        <v>548</v>
      </c>
      <c r="H27" s="24">
        <v>96</v>
      </c>
    </row>
    <row r="28" spans="1:10">
      <c r="A28" s="23" t="s">
        <v>696</v>
      </c>
      <c r="B28" s="24" t="s">
        <v>438</v>
      </c>
      <c r="C28" s="24" t="s">
        <v>485</v>
      </c>
      <c r="G28" s="24" t="s">
        <v>549</v>
      </c>
      <c r="H28" s="24">
        <v>100</v>
      </c>
    </row>
    <row r="29" spans="1:10">
      <c r="A29" s="23" t="s">
        <v>697</v>
      </c>
      <c r="B29" s="24" t="s">
        <v>439</v>
      </c>
      <c r="C29" s="24" t="s">
        <v>1275</v>
      </c>
      <c r="G29" s="24" t="s">
        <v>550</v>
      </c>
    </row>
    <row r="30" spans="1:10">
      <c r="A30" s="23" t="s">
        <v>698</v>
      </c>
      <c r="B30" s="24" t="s">
        <v>440</v>
      </c>
      <c r="C30" s="24" t="s">
        <v>486</v>
      </c>
      <c r="G30" s="24" t="s">
        <v>551</v>
      </c>
    </row>
    <row r="31" spans="1:10">
      <c r="A31" s="23" t="s">
        <v>699</v>
      </c>
      <c r="B31" s="24" t="s">
        <v>441</v>
      </c>
      <c r="C31" s="23" t="s">
        <v>639</v>
      </c>
      <c r="G31" s="24" t="s">
        <v>552</v>
      </c>
    </row>
    <row r="32" spans="1:10">
      <c r="A32" s="23" t="s">
        <v>700</v>
      </c>
      <c r="B32" s="24" t="s">
        <v>442</v>
      </c>
      <c r="C32" s="23" t="s">
        <v>487</v>
      </c>
      <c r="G32" s="24" t="s">
        <v>553</v>
      </c>
    </row>
    <row r="33" spans="1:10">
      <c r="A33" s="23" t="s">
        <v>701</v>
      </c>
      <c r="B33" s="23" t="s">
        <v>443</v>
      </c>
      <c r="C33" s="23" t="s">
        <v>642</v>
      </c>
      <c r="D33" s="23"/>
      <c r="E33" s="23"/>
      <c r="F33" s="23"/>
      <c r="G33" s="23" t="s">
        <v>554</v>
      </c>
      <c r="H33" s="23"/>
      <c r="I33" s="23"/>
      <c r="J33" s="23"/>
    </row>
    <row r="34" spans="1:10">
      <c r="A34" s="23" t="s">
        <v>702</v>
      </c>
      <c r="B34" s="23" t="s">
        <v>444</v>
      </c>
      <c r="C34" s="23" t="s">
        <v>488</v>
      </c>
      <c r="D34" s="23"/>
      <c r="E34" s="23"/>
      <c r="F34" s="23"/>
      <c r="G34" s="23" t="s">
        <v>555</v>
      </c>
      <c r="H34" s="23"/>
      <c r="I34" s="23"/>
      <c r="J34" s="23"/>
    </row>
    <row r="35" spans="1:10">
      <c r="A35" s="23" t="s">
        <v>703</v>
      </c>
      <c r="B35" s="23" t="s">
        <v>445</v>
      </c>
      <c r="C35" s="23" t="s">
        <v>644</v>
      </c>
      <c r="D35" s="23"/>
      <c r="E35" s="23"/>
      <c r="F35" s="23"/>
      <c r="G35" s="23" t="s">
        <v>556</v>
      </c>
      <c r="H35" s="23"/>
      <c r="I35" s="23"/>
      <c r="J35" s="23"/>
    </row>
    <row r="36" spans="1:10">
      <c r="A36" s="23" t="s">
        <v>704</v>
      </c>
      <c r="B36" s="23" t="s">
        <v>446</v>
      </c>
      <c r="C36" s="23" t="s">
        <v>646</v>
      </c>
      <c r="D36" s="23"/>
      <c r="E36" s="23"/>
      <c r="F36" s="23"/>
      <c r="G36" s="23" t="s">
        <v>557</v>
      </c>
      <c r="H36" s="23"/>
      <c r="I36" s="23"/>
      <c r="J36" s="23"/>
    </row>
    <row r="37" spans="1:10">
      <c r="A37" s="23" t="s">
        <v>705</v>
      </c>
      <c r="B37" s="23" t="s">
        <v>447</v>
      </c>
      <c r="C37" s="23" t="s">
        <v>489</v>
      </c>
      <c r="D37" s="23"/>
      <c r="E37" s="23"/>
      <c r="F37" s="23"/>
      <c r="G37" s="23" t="s">
        <v>558</v>
      </c>
      <c r="H37" s="23"/>
      <c r="I37" s="23"/>
      <c r="J37" s="23"/>
    </row>
    <row r="38" spans="1:10">
      <c r="A38" s="23" t="s">
        <v>706</v>
      </c>
      <c r="B38" s="23" t="s">
        <v>648</v>
      </c>
      <c r="C38" s="23" t="s">
        <v>647</v>
      </c>
      <c r="D38" s="23"/>
      <c r="E38" s="23"/>
      <c r="F38" s="23"/>
      <c r="G38" s="23" t="s">
        <v>559</v>
      </c>
      <c r="H38" s="23"/>
      <c r="I38" s="23"/>
      <c r="J38" s="23"/>
    </row>
    <row r="39" spans="1:10">
      <c r="A39" s="23" t="s">
        <v>707</v>
      </c>
      <c r="B39" s="23" t="s">
        <v>448</v>
      </c>
      <c r="C39" s="23" t="s">
        <v>649</v>
      </c>
      <c r="D39" s="23"/>
      <c r="E39" s="23"/>
      <c r="F39" s="23"/>
      <c r="G39" s="23" t="s">
        <v>560</v>
      </c>
      <c r="H39" s="23"/>
      <c r="I39" s="23"/>
      <c r="J39" s="23"/>
    </row>
    <row r="40" spans="1:10">
      <c r="A40" s="23" t="s">
        <v>708</v>
      </c>
      <c r="B40" s="23" t="s">
        <v>449</v>
      </c>
      <c r="C40" s="23" t="s">
        <v>490</v>
      </c>
      <c r="D40" s="23"/>
      <c r="E40" s="23"/>
      <c r="F40" s="23"/>
      <c r="G40" s="23" t="s">
        <v>561</v>
      </c>
      <c r="H40" s="23"/>
      <c r="I40" s="23"/>
      <c r="J40" s="23"/>
    </row>
    <row r="41" spans="1:10">
      <c r="A41" s="23" t="s">
        <v>709</v>
      </c>
      <c r="B41" s="23" t="s">
        <v>450</v>
      </c>
      <c r="C41" s="23" t="s">
        <v>1276</v>
      </c>
      <c r="D41" s="23"/>
      <c r="E41" s="23"/>
      <c r="F41" s="23"/>
      <c r="G41" s="23" t="s">
        <v>562</v>
      </c>
      <c r="H41" s="23"/>
      <c r="I41" s="23"/>
      <c r="J41" s="23"/>
    </row>
    <row r="42" spans="1:10">
      <c r="A42" s="23" t="s">
        <v>710</v>
      </c>
      <c r="B42" s="23" t="s">
        <v>650</v>
      </c>
      <c r="C42" s="23" t="s">
        <v>491</v>
      </c>
      <c r="D42" s="23"/>
      <c r="E42" s="23"/>
      <c r="F42" s="23"/>
      <c r="G42" s="23"/>
      <c r="H42" s="23"/>
      <c r="I42" s="23"/>
      <c r="J42" s="23"/>
    </row>
    <row r="43" spans="1:10">
      <c r="A43" s="23" t="s">
        <v>711</v>
      </c>
      <c r="B43" s="23" t="s">
        <v>451</v>
      </c>
      <c r="C43" s="23" t="s">
        <v>651</v>
      </c>
      <c r="D43" s="23"/>
      <c r="E43" s="23"/>
      <c r="F43" s="23"/>
      <c r="G43" s="23"/>
      <c r="H43" s="23"/>
      <c r="I43" s="23"/>
      <c r="J43" s="23"/>
    </row>
    <row r="44" spans="1:10">
      <c r="A44" s="23" t="s">
        <v>712</v>
      </c>
      <c r="B44" s="23" t="s">
        <v>452</v>
      </c>
      <c r="C44" s="23" t="s">
        <v>652</v>
      </c>
      <c r="D44" s="23"/>
      <c r="E44" s="23"/>
      <c r="F44" s="23"/>
      <c r="G44" s="23"/>
      <c r="H44" s="23"/>
      <c r="I44" s="23"/>
      <c r="J44" s="23"/>
    </row>
    <row r="45" spans="1:10">
      <c r="A45" s="23" t="s">
        <v>713</v>
      </c>
      <c r="B45" s="23" t="s">
        <v>453</v>
      </c>
      <c r="C45" s="23" t="s">
        <v>1277</v>
      </c>
      <c r="D45" s="23"/>
      <c r="E45" s="23"/>
      <c r="F45" s="23"/>
      <c r="G45" s="23"/>
      <c r="H45" s="23"/>
      <c r="I45" s="23"/>
      <c r="J45" s="23"/>
    </row>
    <row r="46" spans="1:10">
      <c r="A46" s="23" t="s">
        <v>714</v>
      </c>
      <c r="B46" s="23" t="s">
        <v>454</v>
      </c>
      <c r="C46" s="23" t="s">
        <v>653</v>
      </c>
      <c r="D46" s="23"/>
      <c r="E46" s="23"/>
      <c r="F46" s="23"/>
      <c r="G46" s="23"/>
      <c r="H46" s="23"/>
      <c r="I46" s="23"/>
      <c r="J46" s="23"/>
    </row>
    <row r="47" spans="1:10">
      <c r="A47" s="23" t="s">
        <v>715</v>
      </c>
      <c r="B47" s="23" t="s">
        <v>455</v>
      </c>
      <c r="C47" s="23" t="s">
        <v>492</v>
      </c>
      <c r="D47" s="23"/>
      <c r="E47" s="23"/>
      <c r="F47" s="23"/>
      <c r="G47" s="23"/>
      <c r="H47" s="23"/>
      <c r="I47" s="23"/>
      <c r="J47" s="23"/>
    </row>
    <row r="48" spans="1:10">
      <c r="A48" s="23" t="s">
        <v>716</v>
      </c>
      <c r="B48" s="23" t="s">
        <v>456</v>
      </c>
      <c r="C48" s="23" t="s">
        <v>493</v>
      </c>
      <c r="D48" s="23"/>
      <c r="E48" s="23"/>
      <c r="F48" s="23"/>
      <c r="G48" s="23"/>
      <c r="H48" s="23"/>
      <c r="I48" s="23"/>
      <c r="J48" s="23"/>
    </row>
    <row r="49" spans="1:10">
      <c r="A49" s="23" t="s">
        <v>717</v>
      </c>
      <c r="B49" s="23" t="s">
        <v>457</v>
      </c>
      <c r="C49" s="23" t="s">
        <v>494</v>
      </c>
      <c r="D49" s="23"/>
      <c r="E49" s="23"/>
      <c r="F49" s="23"/>
      <c r="G49" s="23"/>
      <c r="H49" s="23"/>
      <c r="I49" s="23"/>
      <c r="J49" s="23"/>
    </row>
    <row r="50" spans="1:10">
      <c r="A50" s="23" t="s">
        <v>718</v>
      </c>
      <c r="B50" s="23" t="s">
        <v>458</v>
      </c>
      <c r="C50" s="23" t="s">
        <v>495</v>
      </c>
      <c r="D50" s="23"/>
      <c r="E50" s="23"/>
      <c r="F50" s="23"/>
      <c r="G50" s="23"/>
      <c r="H50" s="23"/>
      <c r="I50" s="23"/>
      <c r="J50" s="23"/>
    </row>
    <row r="51" spans="1:10">
      <c r="A51" s="23" t="s">
        <v>719</v>
      </c>
      <c r="B51" s="23" t="s">
        <v>459</v>
      </c>
      <c r="C51" s="23" t="s">
        <v>654</v>
      </c>
      <c r="D51" s="23"/>
      <c r="E51" s="23"/>
      <c r="F51" s="23"/>
      <c r="G51" s="23"/>
      <c r="H51" s="23"/>
      <c r="I51" s="23"/>
      <c r="J51" s="23"/>
    </row>
    <row r="52" spans="1:10">
      <c r="A52" s="23" t="s">
        <v>720</v>
      </c>
      <c r="B52" s="23" t="s">
        <v>655</v>
      </c>
      <c r="C52" s="23" t="s">
        <v>496</v>
      </c>
      <c r="D52" s="23"/>
      <c r="E52" s="23"/>
      <c r="F52" s="23"/>
      <c r="G52" s="23"/>
      <c r="H52" s="23"/>
      <c r="I52" s="23"/>
      <c r="J52" s="23"/>
    </row>
    <row r="53" spans="1:10">
      <c r="A53" s="23" t="s">
        <v>721</v>
      </c>
      <c r="B53" s="23" t="s">
        <v>460</v>
      </c>
      <c r="C53" s="23" t="s">
        <v>1278</v>
      </c>
      <c r="D53" s="23"/>
      <c r="E53" s="23"/>
      <c r="F53" s="23"/>
      <c r="G53" s="23"/>
      <c r="H53" s="23"/>
      <c r="I53" s="23"/>
      <c r="J53" s="23"/>
    </row>
    <row r="54" spans="1:10">
      <c r="A54" s="23" t="s">
        <v>722</v>
      </c>
      <c r="B54" s="23" t="s">
        <v>461</v>
      </c>
      <c r="C54" s="23" t="s">
        <v>1279</v>
      </c>
      <c r="D54" s="23"/>
      <c r="E54" s="23"/>
      <c r="F54" s="23"/>
      <c r="G54" s="23"/>
      <c r="H54" s="23"/>
      <c r="I54" s="23"/>
      <c r="J54" s="23"/>
    </row>
    <row r="55" spans="1:10">
      <c r="A55" s="23" t="s">
        <v>723</v>
      </c>
      <c r="B55" s="23" t="s">
        <v>462</v>
      </c>
      <c r="C55" s="24" t="s">
        <v>497</v>
      </c>
      <c r="D55" s="23"/>
      <c r="E55" s="23"/>
      <c r="F55" s="23"/>
      <c r="G55" s="23"/>
      <c r="H55" s="23"/>
      <c r="I55" s="23"/>
      <c r="J55" s="23"/>
    </row>
    <row r="56" spans="1:10">
      <c r="A56" s="23" t="s">
        <v>724</v>
      </c>
      <c r="B56" s="23" t="s">
        <v>463</v>
      </c>
      <c r="C56" s="24" t="s">
        <v>656</v>
      </c>
      <c r="D56" s="23"/>
      <c r="E56" s="23"/>
      <c r="F56" s="23"/>
      <c r="G56" s="23"/>
      <c r="H56" s="23"/>
      <c r="I56" s="23"/>
      <c r="J56" s="23"/>
    </row>
    <row r="57" spans="1:10">
      <c r="A57" s="24" t="s">
        <v>725</v>
      </c>
      <c r="B57" s="24" t="s">
        <v>464</v>
      </c>
      <c r="C57" s="24" t="s">
        <v>657</v>
      </c>
    </row>
    <row r="58" spans="1:10">
      <c r="A58" s="24" t="s">
        <v>726</v>
      </c>
      <c r="B58" s="24" t="s">
        <v>659</v>
      </c>
      <c r="C58" s="24" t="s">
        <v>658</v>
      </c>
    </row>
    <row r="59" spans="1:10">
      <c r="A59" s="24" t="s">
        <v>727</v>
      </c>
      <c r="B59" s="24" t="s">
        <v>465</v>
      </c>
      <c r="C59" s="24" t="s">
        <v>498</v>
      </c>
    </row>
    <row r="60" spans="1:10">
      <c r="A60" s="24" t="s">
        <v>728</v>
      </c>
      <c r="B60" s="24" t="s">
        <v>466</v>
      </c>
      <c r="C60" s="24" t="s">
        <v>660</v>
      </c>
    </row>
    <row r="61" spans="1:10">
      <c r="A61" s="24" t="s">
        <v>729</v>
      </c>
      <c r="B61" s="24" t="s">
        <v>467</v>
      </c>
      <c r="C61" s="24" t="s">
        <v>661</v>
      </c>
    </row>
    <row r="62" spans="1:10">
      <c r="A62" s="24" t="s">
        <v>730</v>
      </c>
      <c r="B62" s="24" t="s">
        <v>468</v>
      </c>
      <c r="C62" s="24" t="s">
        <v>662</v>
      </c>
    </row>
    <row r="63" spans="1:10">
      <c r="A63" s="24" t="s">
        <v>731</v>
      </c>
      <c r="B63" s="24" t="s">
        <v>469</v>
      </c>
      <c r="C63" s="23" t="s">
        <v>663</v>
      </c>
    </row>
    <row r="64" spans="1:10">
      <c r="A64" s="24" t="s">
        <v>732</v>
      </c>
      <c r="B64" s="24" t="s">
        <v>470</v>
      </c>
      <c r="C64" s="23" t="s">
        <v>664</v>
      </c>
    </row>
    <row r="65" spans="1:10">
      <c r="A65" s="23" t="s">
        <v>733</v>
      </c>
      <c r="B65" s="23" t="s">
        <v>471</v>
      </c>
      <c r="C65" s="23" t="s">
        <v>499</v>
      </c>
      <c r="D65" s="23"/>
      <c r="E65" s="23"/>
      <c r="F65" s="23"/>
      <c r="G65" s="23"/>
      <c r="H65" s="23"/>
      <c r="I65" s="23"/>
      <c r="J65" s="23"/>
    </row>
    <row r="66" spans="1:10">
      <c r="A66" s="23" t="s">
        <v>734</v>
      </c>
      <c r="B66" s="23" t="s">
        <v>472</v>
      </c>
      <c r="C66" s="24" t="s">
        <v>500</v>
      </c>
      <c r="D66" s="23"/>
      <c r="E66" s="23"/>
      <c r="F66" s="23"/>
      <c r="G66" s="23"/>
      <c r="H66" s="23"/>
      <c r="I66" s="23"/>
      <c r="J66" s="23"/>
    </row>
    <row r="67" spans="1:10">
      <c r="A67" s="23" t="s">
        <v>735</v>
      </c>
      <c r="B67" s="23" t="s">
        <v>473</v>
      </c>
      <c r="C67" s="24" t="s">
        <v>501</v>
      </c>
      <c r="D67" s="23"/>
      <c r="E67" s="23"/>
      <c r="F67" s="23"/>
      <c r="G67" s="23"/>
      <c r="H67" s="23"/>
      <c r="I67" s="23"/>
      <c r="J67" s="23"/>
    </row>
    <row r="68" spans="1:10">
      <c r="A68" s="23" t="s">
        <v>736</v>
      </c>
      <c r="B68" s="23" t="s">
        <v>474</v>
      </c>
      <c r="C68" s="24" t="s">
        <v>666</v>
      </c>
      <c r="D68" s="23"/>
      <c r="E68" s="23"/>
      <c r="F68" s="23"/>
      <c r="G68" s="23"/>
      <c r="H68" s="23"/>
      <c r="I68" s="23"/>
      <c r="J68" s="23"/>
    </row>
    <row r="69" spans="1:10">
      <c r="A69" s="24" t="s">
        <v>737</v>
      </c>
      <c r="B69" s="24" t="s">
        <v>475</v>
      </c>
      <c r="C69" s="24" t="s">
        <v>667</v>
      </c>
    </row>
    <row r="70" spans="1:10">
      <c r="A70" s="24" t="s">
        <v>738</v>
      </c>
      <c r="B70" s="24" t="s">
        <v>476</v>
      </c>
      <c r="C70" s="24" t="s">
        <v>502</v>
      </c>
    </row>
    <row r="71" spans="1:10">
      <c r="A71" s="24" t="s">
        <v>739</v>
      </c>
      <c r="B71" s="24" t="s">
        <v>477</v>
      </c>
    </row>
    <row r="72" spans="1:10">
      <c r="A72" s="24" t="s">
        <v>740</v>
      </c>
      <c r="B72" s="24" t="s">
        <v>665</v>
      </c>
    </row>
    <row r="73" spans="1:10">
      <c r="A73" s="24" t="s">
        <v>741</v>
      </c>
    </row>
    <row r="74" spans="1:10">
      <c r="A74" s="24" t="s">
        <v>742</v>
      </c>
    </row>
    <row r="75" spans="1:10">
      <c r="A75" s="24" t="s">
        <v>743</v>
      </c>
    </row>
    <row r="76" spans="1:10">
      <c r="A76" s="24" t="s">
        <v>746</v>
      </c>
    </row>
    <row r="77" spans="1:10">
      <c r="A77" s="24" t="s">
        <v>747</v>
      </c>
    </row>
    <row r="78" spans="1:10">
      <c r="A78" s="24" t="s">
        <v>748</v>
      </c>
    </row>
    <row r="79" spans="1:10">
      <c r="A79" s="24" t="s">
        <v>749</v>
      </c>
    </row>
    <row r="80" spans="1:10">
      <c r="A80" s="24" t="s">
        <v>750</v>
      </c>
    </row>
    <row r="81" spans="1:1">
      <c r="A81" s="24" t="s">
        <v>751</v>
      </c>
    </row>
    <row r="82" spans="1:1">
      <c r="A82" s="24" t="s">
        <v>752</v>
      </c>
    </row>
    <row r="83" spans="1:1">
      <c r="A83" s="24" t="s">
        <v>753</v>
      </c>
    </row>
    <row r="84" spans="1:1">
      <c r="A84" s="24" t="s">
        <v>754</v>
      </c>
    </row>
    <row r="85" spans="1:1">
      <c r="A85" s="24" t="s">
        <v>755</v>
      </c>
    </row>
    <row r="86" spans="1:1">
      <c r="A86" s="24" t="s">
        <v>756</v>
      </c>
    </row>
    <row r="87" spans="1:1">
      <c r="A87" s="24" t="s">
        <v>757</v>
      </c>
    </row>
    <row r="88" spans="1:1">
      <c r="A88" s="24" t="s">
        <v>758</v>
      </c>
    </row>
    <row r="89" spans="1:1">
      <c r="A89" s="24" t="s">
        <v>759</v>
      </c>
    </row>
    <row r="90" spans="1:1">
      <c r="A90" s="24" t="s">
        <v>760</v>
      </c>
    </row>
    <row r="91" spans="1:1">
      <c r="A91" s="24" t="s">
        <v>761</v>
      </c>
    </row>
    <row r="92" spans="1:1">
      <c r="A92" s="24" t="s">
        <v>762</v>
      </c>
    </row>
    <row r="93" spans="1:1">
      <c r="A93" s="24" t="s">
        <v>763</v>
      </c>
    </row>
    <row r="94" spans="1:1">
      <c r="A94" s="24" t="s">
        <v>764</v>
      </c>
    </row>
    <row r="95" spans="1:1">
      <c r="A95" s="24" t="s">
        <v>765</v>
      </c>
    </row>
    <row r="96" spans="1:1">
      <c r="A96" s="24" t="s">
        <v>766</v>
      </c>
    </row>
    <row r="97" spans="1:1">
      <c r="A97" s="24" t="s">
        <v>767</v>
      </c>
    </row>
    <row r="98" spans="1:1">
      <c r="A98" s="24" t="s">
        <v>768</v>
      </c>
    </row>
    <row r="99" spans="1:1">
      <c r="A99" s="24" t="s">
        <v>769</v>
      </c>
    </row>
    <row r="100" spans="1:1">
      <c r="A100" s="24" t="s">
        <v>770</v>
      </c>
    </row>
    <row r="101" spans="1:1">
      <c r="A101" s="24" t="s">
        <v>771</v>
      </c>
    </row>
    <row r="102" spans="1:1">
      <c r="A102" s="24" t="s">
        <v>772</v>
      </c>
    </row>
    <row r="103" spans="1:1">
      <c r="A103" s="24" t="s">
        <v>773</v>
      </c>
    </row>
    <row r="104" spans="1:1">
      <c r="A104" s="24" t="s">
        <v>774</v>
      </c>
    </row>
    <row r="105" spans="1:1">
      <c r="A105" s="24" t="s">
        <v>775</v>
      </c>
    </row>
    <row r="106" spans="1:1">
      <c r="A106" s="24" t="s">
        <v>776</v>
      </c>
    </row>
    <row r="107" spans="1:1">
      <c r="A107" s="24" t="s">
        <v>777</v>
      </c>
    </row>
    <row r="108" spans="1:1">
      <c r="A108" s="24" t="s">
        <v>778</v>
      </c>
    </row>
    <row r="109" spans="1:1">
      <c r="A109" s="24" t="s">
        <v>779</v>
      </c>
    </row>
    <row r="110" spans="1:1">
      <c r="A110" s="24" t="s">
        <v>780</v>
      </c>
    </row>
    <row r="111" spans="1:1">
      <c r="A111" s="24" t="s">
        <v>781</v>
      </c>
    </row>
    <row r="112" spans="1:1">
      <c r="A112" s="24" t="s">
        <v>782</v>
      </c>
    </row>
    <row r="113" spans="1:1">
      <c r="A113" s="24" t="s">
        <v>783</v>
      </c>
    </row>
    <row r="114" spans="1:1">
      <c r="A114" s="24" t="s">
        <v>784</v>
      </c>
    </row>
    <row r="115" spans="1:1">
      <c r="A115" s="24" t="s">
        <v>785</v>
      </c>
    </row>
    <row r="116" spans="1:1">
      <c r="A116" s="24" t="s">
        <v>786</v>
      </c>
    </row>
    <row r="117" spans="1:1">
      <c r="A117" s="24" t="s">
        <v>787</v>
      </c>
    </row>
    <row r="118" spans="1:1">
      <c r="A118" s="24" t="s">
        <v>788</v>
      </c>
    </row>
    <row r="119" spans="1:1">
      <c r="A119" s="24" t="s">
        <v>789</v>
      </c>
    </row>
    <row r="120" spans="1:1">
      <c r="A120" s="24" t="s">
        <v>790</v>
      </c>
    </row>
    <row r="121" spans="1:1">
      <c r="A121" s="24" t="s">
        <v>791</v>
      </c>
    </row>
    <row r="122" spans="1:1">
      <c r="A122" s="24" t="s">
        <v>792</v>
      </c>
    </row>
    <row r="123" spans="1:1">
      <c r="A123" s="24" t="s">
        <v>793</v>
      </c>
    </row>
    <row r="124" spans="1:1">
      <c r="A124" s="24" t="s">
        <v>794</v>
      </c>
    </row>
    <row r="125" spans="1:1">
      <c r="A125" s="24" t="s">
        <v>795</v>
      </c>
    </row>
    <row r="126" spans="1:1">
      <c r="A126" s="24" t="s">
        <v>796</v>
      </c>
    </row>
    <row r="127" spans="1:1">
      <c r="A127" s="24" t="s">
        <v>797</v>
      </c>
    </row>
    <row r="128" spans="1:1">
      <c r="A128" s="24" t="s">
        <v>798</v>
      </c>
    </row>
    <row r="129" spans="1:1">
      <c r="A129" s="24" t="s">
        <v>799</v>
      </c>
    </row>
    <row r="130" spans="1:1">
      <c r="A130" s="24" t="s">
        <v>800</v>
      </c>
    </row>
    <row r="131" spans="1:1">
      <c r="A131" s="24" t="s">
        <v>801</v>
      </c>
    </row>
    <row r="132" spans="1:1">
      <c r="A132" s="24" t="s">
        <v>802</v>
      </c>
    </row>
    <row r="133" spans="1:1">
      <c r="A133" s="24" t="s">
        <v>803</v>
      </c>
    </row>
    <row r="134" spans="1:1">
      <c r="A134" s="24" t="s">
        <v>804</v>
      </c>
    </row>
    <row r="135" spans="1:1">
      <c r="A135" s="24" t="s">
        <v>805</v>
      </c>
    </row>
    <row r="136" spans="1:1">
      <c r="A136" s="24" t="s">
        <v>806</v>
      </c>
    </row>
    <row r="137" spans="1:1">
      <c r="A137" s="24" t="s">
        <v>807</v>
      </c>
    </row>
    <row r="138" spans="1:1">
      <c r="A138" s="24" t="s">
        <v>808</v>
      </c>
    </row>
    <row r="139" spans="1:1">
      <c r="A139" s="24" t="s">
        <v>809</v>
      </c>
    </row>
    <row r="140" spans="1:1">
      <c r="A140" s="24" t="s">
        <v>810</v>
      </c>
    </row>
    <row r="141" spans="1:1">
      <c r="A141" s="24" t="s">
        <v>811</v>
      </c>
    </row>
    <row r="142" spans="1:1">
      <c r="A142" s="24" t="s">
        <v>812</v>
      </c>
    </row>
    <row r="143" spans="1:1">
      <c r="A143" s="24" t="s">
        <v>813</v>
      </c>
    </row>
    <row r="144" spans="1:1">
      <c r="A144" s="24" t="s">
        <v>814</v>
      </c>
    </row>
    <row r="145" spans="1:1">
      <c r="A145" s="24" t="s">
        <v>815</v>
      </c>
    </row>
    <row r="146" spans="1:1">
      <c r="A146" s="24" t="s">
        <v>816</v>
      </c>
    </row>
    <row r="147" spans="1:1">
      <c r="A147" s="24" t="s">
        <v>817</v>
      </c>
    </row>
    <row r="148" spans="1:1">
      <c r="A148" s="24" t="s">
        <v>818</v>
      </c>
    </row>
    <row r="149" spans="1:1">
      <c r="A149" s="24" t="s">
        <v>819</v>
      </c>
    </row>
    <row r="150" spans="1:1">
      <c r="A150" s="24" t="s">
        <v>820</v>
      </c>
    </row>
    <row r="151" spans="1:1">
      <c r="A151" s="24" t="s">
        <v>821</v>
      </c>
    </row>
    <row r="152" spans="1:1">
      <c r="A152" s="24" t="s">
        <v>822</v>
      </c>
    </row>
    <row r="153" spans="1:1">
      <c r="A153" s="24" t="s">
        <v>823</v>
      </c>
    </row>
    <row r="154" spans="1:1">
      <c r="A154" s="24" t="s">
        <v>824</v>
      </c>
    </row>
    <row r="155" spans="1:1">
      <c r="A155" s="24" t="s">
        <v>825</v>
      </c>
    </row>
    <row r="156" spans="1:1">
      <c r="A156" s="24" t="s">
        <v>826</v>
      </c>
    </row>
    <row r="157" spans="1:1">
      <c r="A157" s="24" t="s">
        <v>827</v>
      </c>
    </row>
    <row r="158" spans="1:1">
      <c r="A158" s="24" t="s">
        <v>828</v>
      </c>
    </row>
    <row r="159" spans="1:1">
      <c r="A159" s="24" t="s">
        <v>829</v>
      </c>
    </row>
    <row r="160" spans="1:1">
      <c r="A160" s="24" t="s">
        <v>830</v>
      </c>
    </row>
    <row r="161" spans="1:1">
      <c r="A161" s="24" t="s">
        <v>831</v>
      </c>
    </row>
    <row r="162" spans="1:1">
      <c r="A162" s="24" t="s">
        <v>832</v>
      </c>
    </row>
    <row r="163" spans="1:1">
      <c r="A163" s="24" t="s">
        <v>833</v>
      </c>
    </row>
    <row r="164" spans="1:1">
      <c r="A164" s="24" t="s">
        <v>834</v>
      </c>
    </row>
    <row r="165" spans="1:1">
      <c r="A165" s="24" t="s">
        <v>835</v>
      </c>
    </row>
    <row r="166" spans="1:1">
      <c r="A166" s="24" t="s">
        <v>836</v>
      </c>
    </row>
    <row r="167" spans="1:1">
      <c r="A167" s="24" t="s">
        <v>837</v>
      </c>
    </row>
    <row r="168" spans="1:1">
      <c r="A168" s="24" t="s">
        <v>838</v>
      </c>
    </row>
    <row r="169" spans="1:1">
      <c r="A169" s="24" t="s">
        <v>839</v>
      </c>
    </row>
    <row r="170" spans="1:1">
      <c r="A170" s="24" t="s">
        <v>840</v>
      </c>
    </row>
    <row r="171" spans="1:1">
      <c r="A171" s="24" t="s">
        <v>841</v>
      </c>
    </row>
    <row r="172" spans="1:1">
      <c r="A172" s="24" t="s">
        <v>842</v>
      </c>
    </row>
    <row r="173" spans="1:1">
      <c r="A173" s="24" t="s">
        <v>843</v>
      </c>
    </row>
    <row r="174" spans="1:1">
      <c r="A174" s="24" t="s">
        <v>844</v>
      </c>
    </row>
    <row r="175" spans="1:1">
      <c r="A175" s="24" t="s">
        <v>845</v>
      </c>
    </row>
    <row r="176" spans="1:1">
      <c r="A176" s="24" t="s">
        <v>846</v>
      </c>
    </row>
    <row r="177" spans="1:1">
      <c r="A177" s="24" t="s">
        <v>847</v>
      </c>
    </row>
    <row r="178" spans="1:1">
      <c r="A178" s="24" t="s">
        <v>848</v>
      </c>
    </row>
    <row r="179" spans="1:1">
      <c r="A179" s="24" t="s">
        <v>849</v>
      </c>
    </row>
    <row r="180" spans="1:1">
      <c r="A180" s="24" t="s">
        <v>850</v>
      </c>
    </row>
    <row r="181" spans="1:1">
      <c r="A181" s="24" t="s">
        <v>851</v>
      </c>
    </row>
    <row r="182" spans="1:1">
      <c r="A182" s="24" t="s">
        <v>852</v>
      </c>
    </row>
    <row r="183" spans="1:1">
      <c r="A183" s="24" t="s">
        <v>853</v>
      </c>
    </row>
    <row r="184" spans="1:1">
      <c r="A184" s="24" t="s">
        <v>854</v>
      </c>
    </row>
    <row r="185" spans="1:1">
      <c r="A185" s="24" t="s">
        <v>855</v>
      </c>
    </row>
    <row r="186" spans="1:1">
      <c r="A186" s="24" t="s">
        <v>856</v>
      </c>
    </row>
    <row r="187" spans="1:1">
      <c r="A187" s="24" t="s">
        <v>857</v>
      </c>
    </row>
    <row r="188" spans="1:1">
      <c r="A188" s="24" t="s">
        <v>858</v>
      </c>
    </row>
    <row r="189" spans="1:1">
      <c r="A189" s="24" t="s">
        <v>859</v>
      </c>
    </row>
    <row r="190" spans="1:1">
      <c r="A190" s="24" t="s">
        <v>860</v>
      </c>
    </row>
    <row r="191" spans="1:1">
      <c r="A191" s="24" t="s">
        <v>861</v>
      </c>
    </row>
    <row r="192" spans="1:1">
      <c r="A192" s="24" t="s">
        <v>862</v>
      </c>
    </row>
    <row r="193" spans="1:1">
      <c r="A193" s="24" t="s">
        <v>863</v>
      </c>
    </row>
    <row r="194" spans="1:1">
      <c r="A194" s="24" t="s">
        <v>864</v>
      </c>
    </row>
    <row r="195" spans="1:1">
      <c r="A195" s="24" t="s">
        <v>865</v>
      </c>
    </row>
    <row r="196" spans="1:1">
      <c r="A196" s="24" t="s">
        <v>866</v>
      </c>
    </row>
    <row r="197" spans="1:1">
      <c r="A197" s="24" t="s">
        <v>867</v>
      </c>
    </row>
    <row r="198" spans="1:1">
      <c r="A198" s="24" t="s">
        <v>868</v>
      </c>
    </row>
    <row r="199" spans="1:1">
      <c r="A199" s="24" t="s">
        <v>869</v>
      </c>
    </row>
    <row r="200" spans="1:1">
      <c r="A200" s="24" t="s">
        <v>870</v>
      </c>
    </row>
    <row r="201" spans="1:1">
      <c r="A201" s="24" t="s">
        <v>871</v>
      </c>
    </row>
    <row r="202" spans="1:1">
      <c r="A202" s="24" t="s">
        <v>872</v>
      </c>
    </row>
    <row r="203" spans="1:1">
      <c r="A203" s="24" t="s">
        <v>873</v>
      </c>
    </row>
    <row r="204" spans="1:1">
      <c r="A204" s="24" t="s">
        <v>874</v>
      </c>
    </row>
    <row r="205" spans="1:1">
      <c r="A205" s="24" t="s">
        <v>875</v>
      </c>
    </row>
    <row r="206" spans="1:1">
      <c r="A206" s="24" t="s">
        <v>876</v>
      </c>
    </row>
    <row r="207" spans="1:1">
      <c r="A207" s="24" t="s">
        <v>877</v>
      </c>
    </row>
    <row r="208" spans="1:1">
      <c r="A208" s="24" t="s">
        <v>878</v>
      </c>
    </row>
    <row r="209" spans="1:1">
      <c r="A209" s="24" t="s">
        <v>879</v>
      </c>
    </row>
    <row r="210" spans="1:1">
      <c r="A210" s="24" t="s">
        <v>880</v>
      </c>
    </row>
    <row r="211" spans="1:1">
      <c r="A211" s="24" t="s">
        <v>881</v>
      </c>
    </row>
    <row r="212" spans="1:1">
      <c r="A212" s="24" t="s">
        <v>882</v>
      </c>
    </row>
    <row r="213" spans="1:1">
      <c r="A213" s="24" t="s">
        <v>883</v>
      </c>
    </row>
    <row r="214" spans="1:1">
      <c r="A214" s="24" t="s">
        <v>884</v>
      </c>
    </row>
    <row r="215" spans="1:1">
      <c r="A215" s="24" t="s">
        <v>885</v>
      </c>
    </row>
    <row r="216" spans="1:1">
      <c r="A216" s="24" t="s">
        <v>886</v>
      </c>
    </row>
    <row r="217" spans="1:1">
      <c r="A217" s="24" t="s">
        <v>887</v>
      </c>
    </row>
    <row r="218" spans="1:1">
      <c r="A218" s="24" t="s">
        <v>888</v>
      </c>
    </row>
    <row r="219" spans="1:1">
      <c r="A219" s="24" t="s">
        <v>889</v>
      </c>
    </row>
    <row r="220" spans="1:1">
      <c r="A220" s="24" t="s">
        <v>890</v>
      </c>
    </row>
    <row r="221" spans="1:1">
      <c r="A221" s="24" t="s">
        <v>891</v>
      </c>
    </row>
    <row r="222" spans="1:1">
      <c r="A222" s="24" t="s">
        <v>892</v>
      </c>
    </row>
    <row r="223" spans="1:1">
      <c r="A223" s="24" t="s">
        <v>893</v>
      </c>
    </row>
    <row r="224" spans="1:1">
      <c r="A224" s="24" t="s">
        <v>894</v>
      </c>
    </row>
    <row r="225" spans="1:1">
      <c r="A225" s="24" t="s">
        <v>895</v>
      </c>
    </row>
    <row r="226" spans="1:1">
      <c r="A226" s="24" t="s">
        <v>896</v>
      </c>
    </row>
    <row r="227" spans="1:1">
      <c r="A227" s="24" t="s">
        <v>897</v>
      </c>
    </row>
    <row r="228" spans="1:1">
      <c r="A228" s="24" t="s">
        <v>898</v>
      </c>
    </row>
    <row r="229" spans="1:1">
      <c r="A229" s="24" t="s">
        <v>899</v>
      </c>
    </row>
    <row r="230" spans="1:1">
      <c r="A230" s="24" t="s">
        <v>900</v>
      </c>
    </row>
    <row r="231" spans="1:1">
      <c r="A231" s="24" t="s">
        <v>901</v>
      </c>
    </row>
    <row r="232" spans="1:1">
      <c r="A232" s="24" t="s">
        <v>902</v>
      </c>
    </row>
    <row r="233" spans="1:1">
      <c r="A233" s="24" t="s">
        <v>903</v>
      </c>
    </row>
    <row r="234" spans="1:1">
      <c r="A234" s="24" t="s">
        <v>904</v>
      </c>
    </row>
    <row r="235" spans="1:1">
      <c r="A235" s="24" t="s">
        <v>905</v>
      </c>
    </row>
    <row r="236" spans="1:1">
      <c r="A236" s="24" t="s">
        <v>906</v>
      </c>
    </row>
    <row r="237" spans="1:1">
      <c r="A237" s="24" t="s">
        <v>907</v>
      </c>
    </row>
    <row r="238" spans="1:1">
      <c r="A238" s="24" t="s">
        <v>908</v>
      </c>
    </row>
    <row r="239" spans="1:1">
      <c r="A239" s="24" t="s">
        <v>909</v>
      </c>
    </row>
    <row r="240" spans="1:1">
      <c r="A240" s="24" t="s">
        <v>910</v>
      </c>
    </row>
    <row r="241" spans="1:1">
      <c r="A241" s="24" t="s">
        <v>911</v>
      </c>
    </row>
    <row r="242" spans="1:1">
      <c r="A242" s="24" t="s">
        <v>912</v>
      </c>
    </row>
    <row r="243" spans="1:1">
      <c r="A243" s="24" t="s">
        <v>913</v>
      </c>
    </row>
    <row r="244" spans="1:1">
      <c r="A244" s="24" t="s">
        <v>914</v>
      </c>
    </row>
    <row r="245" spans="1:1">
      <c r="A245" s="24" t="s">
        <v>915</v>
      </c>
    </row>
    <row r="246" spans="1:1">
      <c r="A246" s="24" t="s">
        <v>916</v>
      </c>
    </row>
    <row r="247" spans="1:1">
      <c r="A247" s="24" t="s">
        <v>917</v>
      </c>
    </row>
    <row r="248" spans="1:1">
      <c r="A248" s="24" t="s">
        <v>918</v>
      </c>
    </row>
    <row r="249" spans="1:1">
      <c r="A249" s="24" t="s">
        <v>919</v>
      </c>
    </row>
    <row r="250" spans="1:1">
      <c r="A250" s="24" t="s">
        <v>920</v>
      </c>
    </row>
    <row r="251" spans="1:1">
      <c r="A251" s="24" t="s">
        <v>921</v>
      </c>
    </row>
    <row r="252" spans="1:1">
      <c r="A252" s="24" t="s">
        <v>922</v>
      </c>
    </row>
    <row r="253" spans="1:1">
      <c r="A253" s="24" t="s">
        <v>923</v>
      </c>
    </row>
    <row r="254" spans="1:1">
      <c r="A254" s="24" t="s">
        <v>924</v>
      </c>
    </row>
    <row r="255" spans="1:1">
      <c r="A255" s="24" t="s">
        <v>925</v>
      </c>
    </row>
    <row r="256" spans="1:1">
      <c r="A256" s="24" t="s">
        <v>926</v>
      </c>
    </row>
    <row r="257" spans="1:1">
      <c r="A257" s="24" t="s">
        <v>927</v>
      </c>
    </row>
    <row r="258" spans="1:1">
      <c r="A258" s="24" t="s">
        <v>928</v>
      </c>
    </row>
    <row r="259" spans="1:1">
      <c r="A259" s="24" t="s">
        <v>929</v>
      </c>
    </row>
    <row r="260" spans="1:1">
      <c r="A260" s="24" t="s">
        <v>930</v>
      </c>
    </row>
    <row r="261" spans="1:1">
      <c r="A261" s="24" t="s">
        <v>931</v>
      </c>
    </row>
    <row r="262" spans="1:1">
      <c r="A262" s="24" t="s">
        <v>932</v>
      </c>
    </row>
    <row r="263" spans="1:1">
      <c r="A263" s="24" t="s">
        <v>933</v>
      </c>
    </row>
    <row r="264" spans="1:1">
      <c r="A264" s="24" t="s">
        <v>934</v>
      </c>
    </row>
    <row r="265" spans="1:1">
      <c r="A265" s="24" t="s">
        <v>935</v>
      </c>
    </row>
    <row r="266" spans="1:1">
      <c r="A266" s="24" t="s">
        <v>936</v>
      </c>
    </row>
    <row r="267" spans="1:1">
      <c r="A267" s="24" t="s">
        <v>937</v>
      </c>
    </row>
    <row r="268" spans="1:1">
      <c r="A268" s="24" t="s">
        <v>938</v>
      </c>
    </row>
    <row r="269" spans="1:1">
      <c r="A269" s="24" t="s">
        <v>939</v>
      </c>
    </row>
    <row r="270" spans="1:1">
      <c r="A270" s="24" t="s">
        <v>940</v>
      </c>
    </row>
    <row r="271" spans="1:1">
      <c r="A271" s="24" t="s">
        <v>941</v>
      </c>
    </row>
    <row r="272" spans="1:1">
      <c r="A272" s="24" t="s">
        <v>942</v>
      </c>
    </row>
    <row r="273" spans="1:1">
      <c r="A273" s="24" t="s">
        <v>943</v>
      </c>
    </row>
    <row r="274" spans="1:1">
      <c r="A274" s="24" t="s">
        <v>944</v>
      </c>
    </row>
    <row r="275" spans="1:1">
      <c r="A275" s="24" t="s">
        <v>945</v>
      </c>
    </row>
    <row r="276" spans="1:1">
      <c r="A276" s="24" t="s">
        <v>946</v>
      </c>
    </row>
    <row r="277" spans="1:1">
      <c r="A277" s="24" t="s">
        <v>947</v>
      </c>
    </row>
    <row r="278" spans="1:1">
      <c r="A278" s="24" t="s">
        <v>948</v>
      </c>
    </row>
    <row r="279" spans="1:1">
      <c r="A279" s="24" t="s">
        <v>949</v>
      </c>
    </row>
    <row r="280" spans="1:1">
      <c r="A280" s="24" t="s">
        <v>950</v>
      </c>
    </row>
    <row r="281" spans="1:1">
      <c r="A281" s="24" t="s">
        <v>951</v>
      </c>
    </row>
    <row r="282" spans="1:1">
      <c r="A282" s="24" t="s">
        <v>952</v>
      </c>
    </row>
    <row r="283" spans="1:1">
      <c r="A283" s="24" t="s">
        <v>953</v>
      </c>
    </row>
    <row r="284" spans="1:1">
      <c r="A284" s="24" t="s">
        <v>954</v>
      </c>
    </row>
    <row r="285" spans="1:1">
      <c r="A285" s="24" t="s">
        <v>955</v>
      </c>
    </row>
    <row r="286" spans="1:1">
      <c r="A286" s="24" t="s">
        <v>956</v>
      </c>
    </row>
    <row r="287" spans="1:1">
      <c r="A287" s="24" t="s">
        <v>957</v>
      </c>
    </row>
    <row r="288" spans="1:1">
      <c r="A288" s="24" t="s">
        <v>958</v>
      </c>
    </row>
    <row r="289" spans="1:1">
      <c r="A289" s="24" t="s">
        <v>959</v>
      </c>
    </row>
    <row r="290" spans="1:1">
      <c r="A290" s="24" t="s">
        <v>960</v>
      </c>
    </row>
    <row r="291" spans="1:1">
      <c r="A291" s="24" t="s">
        <v>961</v>
      </c>
    </row>
    <row r="292" spans="1:1">
      <c r="A292" s="24" t="s">
        <v>962</v>
      </c>
    </row>
    <row r="293" spans="1:1">
      <c r="A293" s="24" t="s">
        <v>963</v>
      </c>
    </row>
    <row r="294" spans="1:1">
      <c r="A294" s="24" t="s">
        <v>964</v>
      </c>
    </row>
    <row r="295" spans="1:1">
      <c r="A295" s="24" t="s">
        <v>965</v>
      </c>
    </row>
    <row r="296" spans="1:1">
      <c r="A296" s="24" t="s">
        <v>966</v>
      </c>
    </row>
    <row r="297" spans="1:1">
      <c r="A297" s="24" t="s">
        <v>967</v>
      </c>
    </row>
    <row r="298" spans="1:1">
      <c r="A298" s="24" t="s">
        <v>968</v>
      </c>
    </row>
    <row r="299" spans="1:1">
      <c r="A299" s="24" t="s">
        <v>969</v>
      </c>
    </row>
    <row r="300" spans="1:1">
      <c r="A300" s="24" t="s">
        <v>970</v>
      </c>
    </row>
    <row r="301" spans="1:1">
      <c r="A301" s="24" t="s">
        <v>971</v>
      </c>
    </row>
    <row r="302" spans="1:1">
      <c r="A302" s="24" t="s">
        <v>972</v>
      </c>
    </row>
    <row r="303" spans="1:1">
      <c r="A303" s="24" t="s">
        <v>973</v>
      </c>
    </row>
    <row r="304" spans="1:1">
      <c r="A304" s="24" t="s">
        <v>974</v>
      </c>
    </row>
    <row r="305" spans="1:1">
      <c r="A305" s="24" t="s">
        <v>975</v>
      </c>
    </row>
    <row r="306" spans="1:1">
      <c r="A306" s="24" t="s">
        <v>976</v>
      </c>
    </row>
    <row r="307" spans="1:1">
      <c r="A307" s="24" t="s">
        <v>977</v>
      </c>
    </row>
    <row r="308" spans="1:1">
      <c r="A308" s="24" t="s">
        <v>978</v>
      </c>
    </row>
    <row r="309" spans="1:1">
      <c r="A309" s="24" t="s">
        <v>979</v>
      </c>
    </row>
    <row r="310" spans="1:1">
      <c r="A310" s="24" t="s">
        <v>980</v>
      </c>
    </row>
    <row r="311" spans="1:1">
      <c r="A311" s="24" t="s">
        <v>981</v>
      </c>
    </row>
    <row r="312" spans="1:1">
      <c r="A312" s="24" t="s">
        <v>982</v>
      </c>
    </row>
    <row r="313" spans="1:1">
      <c r="A313" s="24" t="s">
        <v>983</v>
      </c>
    </row>
    <row r="314" spans="1:1">
      <c r="A314" s="24" t="s">
        <v>984</v>
      </c>
    </row>
    <row r="315" spans="1:1">
      <c r="A315" s="24" t="s">
        <v>985</v>
      </c>
    </row>
    <row r="316" spans="1:1">
      <c r="A316" s="24" t="s">
        <v>986</v>
      </c>
    </row>
    <row r="317" spans="1:1">
      <c r="A317" s="24" t="s">
        <v>987</v>
      </c>
    </row>
    <row r="318" spans="1:1">
      <c r="A318" s="24" t="s">
        <v>988</v>
      </c>
    </row>
    <row r="319" spans="1:1">
      <c r="A319" s="24" t="s">
        <v>989</v>
      </c>
    </row>
    <row r="320" spans="1:1">
      <c r="A320" s="24" t="s">
        <v>990</v>
      </c>
    </row>
    <row r="321" spans="1:1">
      <c r="A321" s="24" t="s">
        <v>991</v>
      </c>
    </row>
    <row r="322" spans="1:1">
      <c r="A322" s="24" t="s">
        <v>992</v>
      </c>
    </row>
    <row r="323" spans="1:1">
      <c r="A323" s="24" t="s">
        <v>993</v>
      </c>
    </row>
    <row r="324" spans="1:1">
      <c r="A324" s="24" t="s">
        <v>994</v>
      </c>
    </row>
    <row r="325" spans="1:1">
      <c r="A325" s="24" t="s">
        <v>995</v>
      </c>
    </row>
    <row r="326" spans="1:1">
      <c r="A326" s="24" t="s">
        <v>996</v>
      </c>
    </row>
    <row r="327" spans="1:1">
      <c r="A327" s="24" t="s">
        <v>997</v>
      </c>
    </row>
    <row r="328" spans="1:1">
      <c r="A328" s="24" t="s">
        <v>998</v>
      </c>
    </row>
    <row r="329" spans="1:1">
      <c r="A329" s="24" t="s">
        <v>999</v>
      </c>
    </row>
    <row r="330" spans="1:1">
      <c r="A330" s="24" t="s">
        <v>1000</v>
      </c>
    </row>
    <row r="331" spans="1:1">
      <c r="A331" s="24" t="s">
        <v>1001</v>
      </c>
    </row>
    <row r="332" spans="1:1">
      <c r="A332" s="24" t="s">
        <v>1002</v>
      </c>
    </row>
    <row r="333" spans="1:1">
      <c r="A333" s="24" t="s">
        <v>1003</v>
      </c>
    </row>
    <row r="334" spans="1:1">
      <c r="A334" s="24" t="s">
        <v>1004</v>
      </c>
    </row>
    <row r="335" spans="1:1">
      <c r="A335" s="24" t="s">
        <v>1005</v>
      </c>
    </row>
    <row r="336" spans="1:1">
      <c r="A336" s="24" t="s">
        <v>1006</v>
      </c>
    </row>
    <row r="337" spans="1:1">
      <c r="A337" s="24" t="s">
        <v>1007</v>
      </c>
    </row>
    <row r="338" spans="1:1">
      <c r="A338" s="24" t="s">
        <v>1008</v>
      </c>
    </row>
    <row r="339" spans="1:1">
      <c r="A339" s="24" t="s">
        <v>1009</v>
      </c>
    </row>
    <row r="340" spans="1:1">
      <c r="A340" s="24" t="s">
        <v>1010</v>
      </c>
    </row>
    <row r="341" spans="1:1">
      <c r="A341" s="24" t="s">
        <v>1011</v>
      </c>
    </row>
    <row r="342" spans="1:1">
      <c r="A342" s="24" t="s">
        <v>1012</v>
      </c>
    </row>
    <row r="343" spans="1:1">
      <c r="A343" s="24" t="s">
        <v>1013</v>
      </c>
    </row>
    <row r="344" spans="1:1">
      <c r="A344" s="24" t="s">
        <v>1014</v>
      </c>
    </row>
    <row r="345" spans="1:1">
      <c r="A345" s="24" t="s">
        <v>1015</v>
      </c>
    </row>
    <row r="346" spans="1:1">
      <c r="A346" s="24" t="s">
        <v>1016</v>
      </c>
    </row>
    <row r="347" spans="1:1">
      <c r="A347" s="24" t="s">
        <v>1017</v>
      </c>
    </row>
    <row r="348" spans="1:1">
      <c r="A348" s="24" t="s">
        <v>1018</v>
      </c>
    </row>
    <row r="349" spans="1:1">
      <c r="A349" s="24" t="s">
        <v>1019</v>
      </c>
    </row>
    <row r="350" spans="1:1">
      <c r="A350" s="24" t="s">
        <v>1020</v>
      </c>
    </row>
    <row r="351" spans="1:1">
      <c r="A351" s="24" t="s">
        <v>1021</v>
      </c>
    </row>
    <row r="352" spans="1:1">
      <c r="A352" s="24" t="s">
        <v>1022</v>
      </c>
    </row>
    <row r="353" spans="1:1">
      <c r="A353" s="24" t="s">
        <v>1023</v>
      </c>
    </row>
    <row r="354" spans="1:1">
      <c r="A354" s="24" t="s">
        <v>1024</v>
      </c>
    </row>
    <row r="355" spans="1:1">
      <c r="A355" s="24" t="s">
        <v>1025</v>
      </c>
    </row>
    <row r="356" spans="1:1">
      <c r="A356" s="24" t="s">
        <v>1026</v>
      </c>
    </row>
    <row r="357" spans="1:1">
      <c r="A357" s="24" t="s">
        <v>1027</v>
      </c>
    </row>
    <row r="358" spans="1:1">
      <c r="A358" s="24" t="s">
        <v>1028</v>
      </c>
    </row>
    <row r="359" spans="1:1">
      <c r="A359" s="24" t="s">
        <v>1029</v>
      </c>
    </row>
    <row r="360" spans="1:1">
      <c r="A360" s="24" t="s">
        <v>1030</v>
      </c>
    </row>
    <row r="361" spans="1:1">
      <c r="A361" s="24" t="s">
        <v>1031</v>
      </c>
    </row>
    <row r="362" spans="1:1">
      <c r="A362" s="24" t="s">
        <v>1032</v>
      </c>
    </row>
    <row r="363" spans="1:1">
      <c r="A363" s="24" t="s">
        <v>1033</v>
      </c>
    </row>
    <row r="364" spans="1:1">
      <c r="A364" s="24" t="s">
        <v>1034</v>
      </c>
    </row>
    <row r="365" spans="1:1">
      <c r="A365" s="24" t="s">
        <v>1035</v>
      </c>
    </row>
    <row r="366" spans="1:1">
      <c r="A366" s="24" t="s">
        <v>1036</v>
      </c>
    </row>
    <row r="367" spans="1:1">
      <c r="A367" s="24" t="s">
        <v>1037</v>
      </c>
    </row>
    <row r="368" spans="1:1">
      <c r="A368" s="24" t="s">
        <v>1038</v>
      </c>
    </row>
    <row r="369" spans="1:1">
      <c r="A369" s="24" t="s">
        <v>1039</v>
      </c>
    </row>
    <row r="370" spans="1:1">
      <c r="A370" s="24" t="s">
        <v>1040</v>
      </c>
    </row>
    <row r="371" spans="1:1">
      <c r="A371" s="24" t="s">
        <v>1041</v>
      </c>
    </row>
    <row r="372" spans="1:1">
      <c r="A372" s="24" t="s">
        <v>1042</v>
      </c>
    </row>
    <row r="373" spans="1:1">
      <c r="A373" s="24" t="s">
        <v>1043</v>
      </c>
    </row>
    <row r="374" spans="1:1">
      <c r="A374" s="24" t="s">
        <v>1044</v>
      </c>
    </row>
    <row r="375" spans="1:1">
      <c r="A375" s="24" t="s">
        <v>1045</v>
      </c>
    </row>
    <row r="376" spans="1:1">
      <c r="A376" s="24" t="s">
        <v>1046</v>
      </c>
    </row>
    <row r="377" spans="1:1">
      <c r="A377" s="24" t="s">
        <v>1047</v>
      </c>
    </row>
    <row r="378" spans="1:1">
      <c r="A378" s="24" t="s">
        <v>1048</v>
      </c>
    </row>
    <row r="379" spans="1:1">
      <c r="A379" s="24" t="s">
        <v>1049</v>
      </c>
    </row>
    <row r="380" spans="1:1">
      <c r="A380" s="24" t="s">
        <v>1050</v>
      </c>
    </row>
    <row r="381" spans="1:1">
      <c r="A381" s="24" t="s">
        <v>1051</v>
      </c>
    </row>
    <row r="382" spans="1:1">
      <c r="A382" s="24" t="s">
        <v>1052</v>
      </c>
    </row>
    <row r="383" spans="1:1">
      <c r="A383" s="24" t="s">
        <v>1053</v>
      </c>
    </row>
    <row r="384" spans="1:1">
      <c r="A384" s="24" t="s">
        <v>1054</v>
      </c>
    </row>
    <row r="385" spans="1:1">
      <c r="A385" s="24" t="s">
        <v>1055</v>
      </c>
    </row>
    <row r="386" spans="1:1">
      <c r="A386" s="24" t="s">
        <v>1056</v>
      </c>
    </row>
    <row r="387" spans="1:1">
      <c r="A387" s="24" t="s">
        <v>1057</v>
      </c>
    </row>
    <row r="388" spans="1:1">
      <c r="A388" s="24" t="s">
        <v>1058</v>
      </c>
    </row>
    <row r="389" spans="1:1">
      <c r="A389" s="24" t="s">
        <v>1059</v>
      </c>
    </row>
    <row r="390" spans="1:1">
      <c r="A390" s="24" t="s">
        <v>1060</v>
      </c>
    </row>
    <row r="391" spans="1:1">
      <c r="A391" s="24" t="s">
        <v>1061</v>
      </c>
    </row>
    <row r="392" spans="1:1">
      <c r="A392" s="24" t="s">
        <v>1062</v>
      </c>
    </row>
    <row r="393" spans="1:1">
      <c r="A393" s="24" t="s">
        <v>1063</v>
      </c>
    </row>
    <row r="394" spans="1:1">
      <c r="A394" s="24" t="s">
        <v>1064</v>
      </c>
    </row>
    <row r="395" spans="1:1">
      <c r="A395" s="24" t="s">
        <v>1065</v>
      </c>
    </row>
    <row r="396" spans="1:1">
      <c r="A396" s="24" t="s">
        <v>1066</v>
      </c>
    </row>
    <row r="397" spans="1:1">
      <c r="A397" s="24" t="s">
        <v>1067</v>
      </c>
    </row>
    <row r="398" spans="1:1">
      <c r="A398" s="24" t="s">
        <v>1068</v>
      </c>
    </row>
    <row r="399" spans="1:1">
      <c r="A399" s="24" t="s">
        <v>1069</v>
      </c>
    </row>
    <row r="400" spans="1:1">
      <c r="A400" s="24" t="s">
        <v>1070</v>
      </c>
    </row>
    <row r="401" spans="1:1">
      <c r="A401" s="24" t="s">
        <v>1071</v>
      </c>
    </row>
    <row r="402" spans="1:1">
      <c r="A402" s="24" t="s">
        <v>1072</v>
      </c>
    </row>
    <row r="403" spans="1:1">
      <c r="A403" s="24" t="s">
        <v>1073</v>
      </c>
    </row>
    <row r="404" spans="1:1">
      <c r="A404" s="24" t="s">
        <v>1074</v>
      </c>
    </row>
    <row r="405" spans="1:1">
      <c r="A405" s="24" t="s">
        <v>1075</v>
      </c>
    </row>
    <row r="406" spans="1:1">
      <c r="A406" s="24" t="s">
        <v>1076</v>
      </c>
    </row>
    <row r="407" spans="1:1">
      <c r="A407" s="24" t="s">
        <v>1077</v>
      </c>
    </row>
    <row r="408" spans="1:1">
      <c r="A408" s="24" t="s">
        <v>1078</v>
      </c>
    </row>
    <row r="409" spans="1:1">
      <c r="A409" s="24" t="s">
        <v>1079</v>
      </c>
    </row>
    <row r="410" spans="1:1">
      <c r="A410" s="24" t="s">
        <v>1080</v>
      </c>
    </row>
    <row r="411" spans="1:1">
      <c r="A411" s="24" t="s">
        <v>1081</v>
      </c>
    </row>
    <row r="412" spans="1:1">
      <c r="A412" s="24" t="s">
        <v>1082</v>
      </c>
    </row>
    <row r="413" spans="1:1">
      <c r="A413" s="24" t="s">
        <v>1083</v>
      </c>
    </row>
    <row r="414" spans="1:1">
      <c r="A414" s="24" t="s">
        <v>1084</v>
      </c>
    </row>
    <row r="415" spans="1:1">
      <c r="A415" s="24" t="s">
        <v>1085</v>
      </c>
    </row>
    <row r="416" spans="1:1">
      <c r="A416" s="24" t="s">
        <v>1086</v>
      </c>
    </row>
    <row r="417" spans="1:1">
      <c r="A417" s="24" t="s">
        <v>1087</v>
      </c>
    </row>
    <row r="418" spans="1:1">
      <c r="A418" s="24" t="s">
        <v>1088</v>
      </c>
    </row>
    <row r="419" spans="1:1">
      <c r="A419" s="24" t="s">
        <v>1089</v>
      </c>
    </row>
    <row r="420" spans="1:1">
      <c r="A420" s="24" t="s">
        <v>1090</v>
      </c>
    </row>
    <row r="421" spans="1:1">
      <c r="A421" s="24" t="s">
        <v>1091</v>
      </c>
    </row>
    <row r="422" spans="1:1">
      <c r="A422" s="24" t="s">
        <v>1092</v>
      </c>
    </row>
    <row r="423" spans="1:1">
      <c r="A423" s="24" t="s">
        <v>1093</v>
      </c>
    </row>
    <row r="424" spans="1:1">
      <c r="A424" s="24" t="s">
        <v>1094</v>
      </c>
    </row>
    <row r="425" spans="1:1">
      <c r="A425" s="24" t="s">
        <v>1095</v>
      </c>
    </row>
    <row r="426" spans="1:1">
      <c r="A426" s="24" t="s">
        <v>1096</v>
      </c>
    </row>
    <row r="427" spans="1:1">
      <c r="A427" s="24" t="s">
        <v>1097</v>
      </c>
    </row>
    <row r="428" spans="1:1">
      <c r="A428" s="24" t="s">
        <v>1098</v>
      </c>
    </row>
    <row r="429" spans="1:1">
      <c r="A429" s="24" t="s">
        <v>1099</v>
      </c>
    </row>
    <row r="430" spans="1:1">
      <c r="A430" s="24" t="s">
        <v>1100</v>
      </c>
    </row>
    <row r="431" spans="1:1">
      <c r="A431" s="24" t="s">
        <v>1101</v>
      </c>
    </row>
    <row r="432" spans="1:1">
      <c r="A432" s="24" t="s">
        <v>1102</v>
      </c>
    </row>
    <row r="433" spans="1:1">
      <c r="A433" s="24" t="s">
        <v>1103</v>
      </c>
    </row>
    <row r="434" spans="1:1">
      <c r="A434" s="24" t="s">
        <v>1104</v>
      </c>
    </row>
    <row r="435" spans="1:1">
      <c r="A435" s="24" t="s">
        <v>1105</v>
      </c>
    </row>
    <row r="436" spans="1:1">
      <c r="A436" s="24" t="s">
        <v>1106</v>
      </c>
    </row>
    <row r="437" spans="1:1">
      <c r="A437" s="24" t="s">
        <v>1107</v>
      </c>
    </row>
    <row r="438" spans="1:1">
      <c r="A438" s="24" t="s">
        <v>1108</v>
      </c>
    </row>
    <row r="439" spans="1:1">
      <c r="A439" s="24" t="s">
        <v>1109</v>
      </c>
    </row>
    <row r="440" spans="1:1">
      <c r="A440" s="24" t="s">
        <v>1110</v>
      </c>
    </row>
    <row r="441" spans="1:1">
      <c r="A441" s="24" t="s">
        <v>1111</v>
      </c>
    </row>
    <row r="442" spans="1:1">
      <c r="A442" s="24" t="s">
        <v>1112</v>
      </c>
    </row>
    <row r="443" spans="1:1">
      <c r="A443" s="24" t="s">
        <v>1113</v>
      </c>
    </row>
    <row r="444" spans="1:1">
      <c r="A444" s="24" t="s">
        <v>1114</v>
      </c>
    </row>
    <row r="445" spans="1:1">
      <c r="A445" s="24" t="s">
        <v>0</v>
      </c>
    </row>
    <row r="446" spans="1:1">
      <c r="A446" s="24" t="s">
        <v>1</v>
      </c>
    </row>
    <row r="447" spans="1:1">
      <c r="A447" s="24" t="s">
        <v>2</v>
      </c>
    </row>
    <row r="448" spans="1:1">
      <c r="A448" s="24" t="s">
        <v>3</v>
      </c>
    </row>
    <row r="449" spans="1:1">
      <c r="A449" s="24" t="s">
        <v>4</v>
      </c>
    </row>
    <row r="450" spans="1:1">
      <c r="A450" s="24" t="s">
        <v>5</v>
      </c>
    </row>
    <row r="451" spans="1:1">
      <c r="A451" s="24" t="s">
        <v>6</v>
      </c>
    </row>
    <row r="452" spans="1:1">
      <c r="A452" s="24" t="s">
        <v>7</v>
      </c>
    </row>
    <row r="453" spans="1:1">
      <c r="A453" s="24" t="s">
        <v>8</v>
      </c>
    </row>
    <row r="454" spans="1:1">
      <c r="A454" s="24" t="s">
        <v>9</v>
      </c>
    </row>
    <row r="455" spans="1:1">
      <c r="A455" s="24" t="s">
        <v>10</v>
      </c>
    </row>
    <row r="456" spans="1:1">
      <c r="A456" s="24" t="s">
        <v>11</v>
      </c>
    </row>
    <row r="457" spans="1:1">
      <c r="A457" s="24" t="s">
        <v>12</v>
      </c>
    </row>
    <row r="458" spans="1:1">
      <c r="A458" s="24" t="s">
        <v>13</v>
      </c>
    </row>
    <row r="459" spans="1:1">
      <c r="A459" s="24" t="s">
        <v>14</v>
      </c>
    </row>
    <row r="460" spans="1:1">
      <c r="A460" s="24" t="s">
        <v>15</v>
      </c>
    </row>
    <row r="461" spans="1:1">
      <c r="A461" s="24" t="s">
        <v>16</v>
      </c>
    </row>
    <row r="462" spans="1:1">
      <c r="A462" s="24" t="s">
        <v>17</v>
      </c>
    </row>
    <row r="463" spans="1:1">
      <c r="A463" s="24" t="s">
        <v>18</v>
      </c>
    </row>
    <row r="464" spans="1:1">
      <c r="A464" s="24" t="s">
        <v>19</v>
      </c>
    </row>
    <row r="465" spans="1:1">
      <c r="A465" s="24" t="s">
        <v>20</v>
      </c>
    </row>
    <row r="466" spans="1:1">
      <c r="A466" s="24" t="s">
        <v>21</v>
      </c>
    </row>
    <row r="467" spans="1:1">
      <c r="A467" s="24" t="s">
        <v>22</v>
      </c>
    </row>
    <row r="468" spans="1:1">
      <c r="A468" s="24" t="s">
        <v>23</v>
      </c>
    </row>
    <row r="469" spans="1:1">
      <c r="A469" s="24" t="s">
        <v>24</v>
      </c>
    </row>
    <row r="470" spans="1:1">
      <c r="A470" s="24" t="s">
        <v>25</v>
      </c>
    </row>
    <row r="471" spans="1:1">
      <c r="A471" s="24" t="s">
        <v>26</v>
      </c>
    </row>
    <row r="472" spans="1:1">
      <c r="A472" s="24" t="s">
        <v>27</v>
      </c>
    </row>
    <row r="473" spans="1:1">
      <c r="A473" s="24" t="s">
        <v>28</v>
      </c>
    </row>
    <row r="474" spans="1:1">
      <c r="A474" s="24" t="s">
        <v>29</v>
      </c>
    </row>
    <row r="475" spans="1:1">
      <c r="A475" s="24" t="s">
        <v>30</v>
      </c>
    </row>
    <row r="476" spans="1:1">
      <c r="A476" s="24" t="s">
        <v>31</v>
      </c>
    </row>
    <row r="477" spans="1:1">
      <c r="A477" s="24" t="s">
        <v>32</v>
      </c>
    </row>
    <row r="478" spans="1:1">
      <c r="A478" s="24" t="s">
        <v>33</v>
      </c>
    </row>
    <row r="479" spans="1:1">
      <c r="A479" s="24" t="s">
        <v>34</v>
      </c>
    </row>
    <row r="480" spans="1:1">
      <c r="A480" s="24" t="s">
        <v>35</v>
      </c>
    </row>
    <row r="481" spans="1:1">
      <c r="A481" s="24" t="s">
        <v>36</v>
      </c>
    </row>
    <row r="482" spans="1:1">
      <c r="A482" s="24" t="s">
        <v>37</v>
      </c>
    </row>
    <row r="483" spans="1:1">
      <c r="A483" s="24" t="s">
        <v>38</v>
      </c>
    </row>
    <row r="484" spans="1:1">
      <c r="A484" s="24" t="s">
        <v>39</v>
      </c>
    </row>
    <row r="485" spans="1:1">
      <c r="A485" s="24" t="s">
        <v>40</v>
      </c>
    </row>
    <row r="486" spans="1:1">
      <c r="A486" s="24" t="s">
        <v>41</v>
      </c>
    </row>
    <row r="487" spans="1:1">
      <c r="A487" s="24" t="s">
        <v>42</v>
      </c>
    </row>
    <row r="488" spans="1:1">
      <c r="A488" s="24" t="s">
        <v>43</v>
      </c>
    </row>
    <row r="489" spans="1:1">
      <c r="A489" s="24" t="s">
        <v>44</v>
      </c>
    </row>
    <row r="490" spans="1:1">
      <c r="A490" s="24" t="s">
        <v>45</v>
      </c>
    </row>
    <row r="491" spans="1:1">
      <c r="A491" s="24" t="s">
        <v>46</v>
      </c>
    </row>
    <row r="492" spans="1:1">
      <c r="A492" s="24" t="s">
        <v>47</v>
      </c>
    </row>
    <row r="493" spans="1:1">
      <c r="A493" s="24" t="s">
        <v>48</v>
      </c>
    </row>
    <row r="494" spans="1:1">
      <c r="A494" s="24" t="s">
        <v>49</v>
      </c>
    </row>
    <row r="495" spans="1:1">
      <c r="A495" s="24" t="s">
        <v>50</v>
      </c>
    </row>
    <row r="496" spans="1:1">
      <c r="A496" s="24" t="s">
        <v>51</v>
      </c>
    </row>
    <row r="497" spans="1:1">
      <c r="A497" s="24" t="s">
        <v>52</v>
      </c>
    </row>
    <row r="498" spans="1:1">
      <c r="A498" s="24" t="s">
        <v>53</v>
      </c>
    </row>
    <row r="499" spans="1:1">
      <c r="A499" s="24" t="s">
        <v>54</v>
      </c>
    </row>
    <row r="500" spans="1:1">
      <c r="A500" s="24" t="s">
        <v>55</v>
      </c>
    </row>
    <row r="501" spans="1:1">
      <c r="A501" s="24" t="s">
        <v>56</v>
      </c>
    </row>
    <row r="502" spans="1:1">
      <c r="A502" s="24" t="s">
        <v>57</v>
      </c>
    </row>
    <row r="503" spans="1:1">
      <c r="A503" s="24" t="s">
        <v>58</v>
      </c>
    </row>
    <row r="504" spans="1:1">
      <c r="A504" s="24" t="s">
        <v>59</v>
      </c>
    </row>
    <row r="505" spans="1:1">
      <c r="A505" s="24" t="s">
        <v>60</v>
      </c>
    </row>
    <row r="506" spans="1:1">
      <c r="A506" s="24" t="s">
        <v>61</v>
      </c>
    </row>
    <row r="507" spans="1:1">
      <c r="A507" s="24" t="s">
        <v>62</v>
      </c>
    </row>
    <row r="508" spans="1:1">
      <c r="A508" s="24" t="s">
        <v>63</v>
      </c>
    </row>
    <row r="509" spans="1:1">
      <c r="A509" s="24" t="s">
        <v>64</v>
      </c>
    </row>
    <row r="510" spans="1:1">
      <c r="A510" s="24" t="s">
        <v>65</v>
      </c>
    </row>
    <row r="511" spans="1:1">
      <c r="A511" s="24" t="s">
        <v>66</v>
      </c>
    </row>
    <row r="512" spans="1:1">
      <c r="A512" s="24" t="s">
        <v>67</v>
      </c>
    </row>
    <row r="513" spans="1:1">
      <c r="A513" s="24" t="s">
        <v>68</v>
      </c>
    </row>
    <row r="514" spans="1:1">
      <c r="A514" s="24" t="s">
        <v>69</v>
      </c>
    </row>
    <row r="515" spans="1:1">
      <c r="A515" s="24" t="s">
        <v>70</v>
      </c>
    </row>
    <row r="516" spans="1:1">
      <c r="A516" s="24" t="s">
        <v>71</v>
      </c>
    </row>
    <row r="517" spans="1:1">
      <c r="A517" s="24" t="s">
        <v>72</v>
      </c>
    </row>
    <row r="518" spans="1:1">
      <c r="A518" s="24" t="s">
        <v>73</v>
      </c>
    </row>
    <row r="519" spans="1:1">
      <c r="A519" s="24" t="s">
        <v>74</v>
      </c>
    </row>
    <row r="520" spans="1:1">
      <c r="A520" s="24" t="s">
        <v>75</v>
      </c>
    </row>
    <row r="521" spans="1:1">
      <c r="A521" s="24" t="s">
        <v>76</v>
      </c>
    </row>
    <row r="522" spans="1:1">
      <c r="A522" s="24" t="s">
        <v>77</v>
      </c>
    </row>
    <row r="523" spans="1:1">
      <c r="A523" s="24" t="s">
        <v>78</v>
      </c>
    </row>
    <row r="524" spans="1:1">
      <c r="A524" s="24" t="s">
        <v>79</v>
      </c>
    </row>
    <row r="525" spans="1:1">
      <c r="A525" s="24" t="s">
        <v>80</v>
      </c>
    </row>
    <row r="526" spans="1:1">
      <c r="A526" s="24" t="s">
        <v>81</v>
      </c>
    </row>
    <row r="527" spans="1:1">
      <c r="A527" s="24" t="s">
        <v>82</v>
      </c>
    </row>
    <row r="528" spans="1:1">
      <c r="A528" s="24" t="s">
        <v>83</v>
      </c>
    </row>
    <row r="529" spans="1:1">
      <c r="A529" s="24" t="s">
        <v>84</v>
      </c>
    </row>
    <row r="530" spans="1:1">
      <c r="A530" s="24" t="s">
        <v>85</v>
      </c>
    </row>
    <row r="531" spans="1:1">
      <c r="A531" s="24" t="s">
        <v>86</v>
      </c>
    </row>
    <row r="532" spans="1:1">
      <c r="A532" s="24" t="s">
        <v>87</v>
      </c>
    </row>
    <row r="533" spans="1:1">
      <c r="A533" s="24" t="s">
        <v>88</v>
      </c>
    </row>
    <row r="534" spans="1:1">
      <c r="A534" s="24" t="s">
        <v>89</v>
      </c>
    </row>
    <row r="535" spans="1:1">
      <c r="A535" s="24" t="s">
        <v>90</v>
      </c>
    </row>
    <row r="536" spans="1:1">
      <c r="A536" s="24" t="s">
        <v>91</v>
      </c>
    </row>
    <row r="537" spans="1:1">
      <c r="A537" s="24" t="s">
        <v>92</v>
      </c>
    </row>
    <row r="538" spans="1:1">
      <c r="A538" s="24" t="s">
        <v>93</v>
      </c>
    </row>
    <row r="539" spans="1:1">
      <c r="A539" s="24" t="s">
        <v>94</v>
      </c>
    </row>
    <row r="540" spans="1:1">
      <c r="A540" s="24" t="s">
        <v>95</v>
      </c>
    </row>
    <row r="541" spans="1:1">
      <c r="A541" s="24" t="s">
        <v>96</v>
      </c>
    </row>
    <row r="542" spans="1:1">
      <c r="A542" s="24" t="s">
        <v>97</v>
      </c>
    </row>
    <row r="543" spans="1:1">
      <c r="A543" s="24" t="s">
        <v>98</v>
      </c>
    </row>
    <row r="544" spans="1:1">
      <c r="A544" s="24" t="s">
        <v>99</v>
      </c>
    </row>
    <row r="545" spans="1:1">
      <c r="A545" s="24" t="s">
        <v>100</v>
      </c>
    </row>
    <row r="546" spans="1:1">
      <c r="A546" s="24" t="s">
        <v>101</v>
      </c>
    </row>
    <row r="547" spans="1:1">
      <c r="A547" s="24" t="s">
        <v>102</v>
      </c>
    </row>
    <row r="548" spans="1:1">
      <c r="A548" s="24" t="s">
        <v>103</v>
      </c>
    </row>
    <row r="549" spans="1:1">
      <c r="A549" s="24" t="s">
        <v>104</v>
      </c>
    </row>
    <row r="550" spans="1:1">
      <c r="A550" s="24" t="s">
        <v>105</v>
      </c>
    </row>
    <row r="551" spans="1:1">
      <c r="A551" s="24" t="s">
        <v>106</v>
      </c>
    </row>
    <row r="552" spans="1:1">
      <c r="A552" s="24" t="s">
        <v>107</v>
      </c>
    </row>
    <row r="553" spans="1:1">
      <c r="A553" s="24" t="s">
        <v>108</v>
      </c>
    </row>
    <row r="554" spans="1:1">
      <c r="A554" s="24" t="s">
        <v>109</v>
      </c>
    </row>
    <row r="555" spans="1:1">
      <c r="A555" s="24" t="s">
        <v>110</v>
      </c>
    </row>
    <row r="556" spans="1:1">
      <c r="A556" s="24" t="s">
        <v>111</v>
      </c>
    </row>
    <row r="557" spans="1:1">
      <c r="A557" s="24" t="s">
        <v>112</v>
      </c>
    </row>
    <row r="558" spans="1:1">
      <c r="A558" s="24" t="s">
        <v>113</v>
      </c>
    </row>
    <row r="559" spans="1:1">
      <c r="A559" s="24" t="s">
        <v>114</v>
      </c>
    </row>
    <row r="560" spans="1:1">
      <c r="A560" s="24" t="s">
        <v>115</v>
      </c>
    </row>
    <row r="561" spans="1:1">
      <c r="A561" s="24" t="s">
        <v>116</v>
      </c>
    </row>
    <row r="562" spans="1:1">
      <c r="A562" s="24" t="s">
        <v>117</v>
      </c>
    </row>
    <row r="563" spans="1:1">
      <c r="A563" s="24" t="s">
        <v>118</v>
      </c>
    </row>
    <row r="564" spans="1:1">
      <c r="A564" s="24" t="s">
        <v>119</v>
      </c>
    </row>
    <row r="565" spans="1:1">
      <c r="A565" s="24" t="s">
        <v>120</v>
      </c>
    </row>
    <row r="566" spans="1:1">
      <c r="A566" s="24" t="s">
        <v>121</v>
      </c>
    </row>
    <row r="567" spans="1:1">
      <c r="A567" s="24" t="s">
        <v>122</v>
      </c>
    </row>
    <row r="568" spans="1:1">
      <c r="A568" s="24" t="s">
        <v>123</v>
      </c>
    </row>
    <row r="569" spans="1:1">
      <c r="A569" s="24" t="s">
        <v>124</v>
      </c>
    </row>
    <row r="570" spans="1:1">
      <c r="A570" s="24" t="s">
        <v>125</v>
      </c>
    </row>
    <row r="571" spans="1:1">
      <c r="A571" s="24" t="s">
        <v>126</v>
      </c>
    </row>
    <row r="572" spans="1:1">
      <c r="A572" s="24" t="s">
        <v>127</v>
      </c>
    </row>
    <row r="573" spans="1:1">
      <c r="A573" s="24" t="s">
        <v>128</v>
      </c>
    </row>
    <row r="574" spans="1:1">
      <c r="A574" s="24" t="s">
        <v>129</v>
      </c>
    </row>
    <row r="575" spans="1:1">
      <c r="A575" s="24" t="s">
        <v>130</v>
      </c>
    </row>
    <row r="576" spans="1:1">
      <c r="A576" s="24" t="s">
        <v>131</v>
      </c>
    </row>
    <row r="577" spans="1:1">
      <c r="A577" s="24" t="s">
        <v>132</v>
      </c>
    </row>
    <row r="578" spans="1:1">
      <c r="A578" s="24" t="s">
        <v>133</v>
      </c>
    </row>
    <row r="579" spans="1:1">
      <c r="A579" s="24" t="s">
        <v>134</v>
      </c>
    </row>
    <row r="580" spans="1:1">
      <c r="A580" s="24" t="s">
        <v>135</v>
      </c>
    </row>
    <row r="581" spans="1:1">
      <c r="A581" s="24" t="s">
        <v>136</v>
      </c>
    </row>
    <row r="582" spans="1:1">
      <c r="A582" s="24" t="s">
        <v>137</v>
      </c>
    </row>
    <row r="583" spans="1:1">
      <c r="A583" s="24" t="s">
        <v>138</v>
      </c>
    </row>
    <row r="584" spans="1:1">
      <c r="A584" s="24" t="s">
        <v>139</v>
      </c>
    </row>
    <row r="585" spans="1:1">
      <c r="A585" s="24" t="s">
        <v>140</v>
      </c>
    </row>
    <row r="586" spans="1:1">
      <c r="A586" s="24" t="s">
        <v>141</v>
      </c>
    </row>
    <row r="587" spans="1:1">
      <c r="A587" s="24" t="s">
        <v>142</v>
      </c>
    </row>
    <row r="588" spans="1:1">
      <c r="A588" s="24" t="s">
        <v>143</v>
      </c>
    </row>
    <row r="589" spans="1:1">
      <c r="A589" s="24" t="s">
        <v>144</v>
      </c>
    </row>
    <row r="590" spans="1:1">
      <c r="A590" s="24" t="s">
        <v>145</v>
      </c>
    </row>
    <row r="591" spans="1:1">
      <c r="A591" s="24" t="s">
        <v>146</v>
      </c>
    </row>
    <row r="592" spans="1:1">
      <c r="A592" s="24" t="s">
        <v>147</v>
      </c>
    </row>
    <row r="593" spans="1:1">
      <c r="A593" s="24" t="s">
        <v>148</v>
      </c>
    </row>
    <row r="594" spans="1:1">
      <c r="A594" s="24" t="s">
        <v>149</v>
      </c>
    </row>
    <row r="595" spans="1:1">
      <c r="A595" s="24" t="s">
        <v>150</v>
      </c>
    </row>
    <row r="596" spans="1:1">
      <c r="A596" s="24" t="s">
        <v>151</v>
      </c>
    </row>
    <row r="597" spans="1:1">
      <c r="A597" s="24" t="s">
        <v>152</v>
      </c>
    </row>
    <row r="598" spans="1:1">
      <c r="A598" s="24" t="s">
        <v>153</v>
      </c>
    </row>
    <row r="599" spans="1:1">
      <c r="A599" s="24" t="s">
        <v>154</v>
      </c>
    </row>
    <row r="600" spans="1:1">
      <c r="A600" s="24" t="s">
        <v>155</v>
      </c>
    </row>
    <row r="601" spans="1:1">
      <c r="A601" s="24" t="s">
        <v>156</v>
      </c>
    </row>
    <row r="602" spans="1:1">
      <c r="A602" s="24" t="s">
        <v>157</v>
      </c>
    </row>
    <row r="603" spans="1:1">
      <c r="A603" s="24" t="s">
        <v>158</v>
      </c>
    </row>
    <row r="604" spans="1:1">
      <c r="A604" s="24" t="s">
        <v>159</v>
      </c>
    </row>
    <row r="605" spans="1:1">
      <c r="A605" s="24" t="s">
        <v>160</v>
      </c>
    </row>
    <row r="606" spans="1:1">
      <c r="A606" s="24" t="s">
        <v>161</v>
      </c>
    </row>
    <row r="607" spans="1:1">
      <c r="A607" s="24" t="s">
        <v>162</v>
      </c>
    </row>
    <row r="608" spans="1:1">
      <c r="A608" s="24" t="s">
        <v>163</v>
      </c>
    </row>
    <row r="609" spans="1:1">
      <c r="A609" s="24" t="s">
        <v>164</v>
      </c>
    </row>
    <row r="610" spans="1:1">
      <c r="A610" s="24" t="s">
        <v>165</v>
      </c>
    </row>
    <row r="611" spans="1:1">
      <c r="A611" s="24" t="s">
        <v>166</v>
      </c>
    </row>
    <row r="612" spans="1:1">
      <c r="A612" s="24" t="s">
        <v>167</v>
      </c>
    </row>
    <row r="613" spans="1:1">
      <c r="A613" s="24" t="s">
        <v>168</v>
      </c>
    </row>
    <row r="614" spans="1:1">
      <c r="A614" s="24" t="s">
        <v>169</v>
      </c>
    </row>
    <row r="615" spans="1:1">
      <c r="A615" s="24" t="s">
        <v>170</v>
      </c>
    </row>
    <row r="616" spans="1:1">
      <c r="A616" s="24" t="s">
        <v>171</v>
      </c>
    </row>
    <row r="617" spans="1:1">
      <c r="A617" s="24" t="s">
        <v>172</v>
      </c>
    </row>
    <row r="618" spans="1:1">
      <c r="A618" s="24" t="s">
        <v>173</v>
      </c>
    </row>
    <row r="619" spans="1:1">
      <c r="A619" s="24" t="s">
        <v>174</v>
      </c>
    </row>
    <row r="620" spans="1:1">
      <c r="A620" s="24" t="s">
        <v>175</v>
      </c>
    </row>
    <row r="621" spans="1:1">
      <c r="A621" s="24" t="s">
        <v>176</v>
      </c>
    </row>
    <row r="622" spans="1:1">
      <c r="A622" s="24" t="s">
        <v>177</v>
      </c>
    </row>
    <row r="623" spans="1:1">
      <c r="A623" s="24" t="s">
        <v>178</v>
      </c>
    </row>
    <row r="624" spans="1:1">
      <c r="A624" s="24" t="s">
        <v>179</v>
      </c>
    </row>
    <row r="625" spans="1:1">
      <c r="A625" s="24" t="s">
        <v>180</v>
      </c>
    </row>
    <row r="626" spans="1:1">
      <c r="A626" s="24" t="s">
        <v>181</v>
      </c>
    </row>
    <row r="627" spans="1:1">
      <c r="A627" s="24" t="s">
        <v>182</v>
      </c>
    </row>
    <row r="628" spans="1:1">
      <c r="A628" s="24" t="s">
        <v>183</v>
      </c>
    </row>
    <row r="629" spans="1:1">
      <c r="A629" s="24" t="s">
        <v>184</v>
      </c>
    </row>
    <row r="630" spans="1:1">
      <c r="A630" s="24" t="s">
        <v>185</v>
      </c>
    </row>
    <row r="631" spans="1:1">
      <c r="A631" s="24" t="s">
        <v>186</v>
      </c>
    </row>
    <row r="632" spans="1:1">
      <c r="A632" s="24" t="s">
        <v>187</v>
      </c>
    </row>
    <row r="633" spans="1:1">
      <c r="A633" s="24" t="s">
        <v>188</v>
      </c>
    </row>
    <row r="634" spans="1:1">
      <c r="A634" s="24" t="s">
        <v>189</v>
      </c>
    </row>
    <row r="635" spans="1:1">
      <c r="A635" s="24" t="s">
        <v>190</v>
      </c>
    </row>
    <row r="636" spans="1:1">
      <c r="A636" s="24" t="s">
        <v>191</v>
      </c>
    </row>
    <row r="637" spans="1:1">
      <c r="A637" s="24" t="s">
        <v>192</v>
      </c>
    </row>
    <row r="638" spans="1:1">
      <c r="A638" s="24" t="s">
        <v>193</v>
      </c>
    </row>
    <row r="639" spans="1:1">
      <c r="A639" s="24" t="s">
        <v>194</v>
      </c>
    </row>
    <row r="640" spans="1:1">
      <c r="A640" s="24" t="s">
        <v>195</v>
      </c>
    </row>
    <row r="641" spans="1:1">
      <c r="A641" s="24" t="s">
        <v>196</v>
      </c>
    </row>
    <row r="642" spans="1:1">
      <c r="A642" s="24" t="s">
        <v>197</v>
      </c>
    </row>
    <row r="643" spans="1:1">
      <c r="A643" s="24" t="s">
        <v>198</v>
      </c>
    </row>
    <row r="644" spans="1:1">
      <c r="A644" s="24" t="s">
        <v>199</v>
      </c>
    </row>
    <row r="645" spans="1:1">
      <c r="A645" s="24" t="s">
        <v>200</v>
      </c>
    </row>
    <row r="646" spans="1:1">
      <c r="A646" s="24" t="s">
        <v>201</v>
      </c>
    </row>
    <row r="647" spans="1:1">
      <c r="A647" s="24" t="s">
        <v>202</v>
      </c>
    </row>
    <row r="648" spans="1:1">
      <c r="A648" s="24" t="s">
        <v>203</v>
      </c>
    </row>
    <row r="649" spans="1:1">
      <c r="A649" s="24" t="s">
        <v>204</v>
      </c>
    </row>
    <row r="650" spans="1:1">
      <c r="A650" s="24" t="s">
        <v>205</v>
      </c>
    </row>
    <row r="651" spans="1:1">
      <c r="A651" s="24" t="s">
        <v>206</v>
      </c>
    </row>
    <row r="652" spans="1:1">
      <c r="A652" s="24" t="s">
        <v>207</v>
      </c>
    </row>
    <row r="653" spans="1:1">
      <c r="A653" s="24" t="s">
        <v>208</v>
      </c>
    </row>
    <row r="654" spans="1:1">
      <c r="A654" s="24" t="s">
        <v>209</v>
      </c>
    </row>
    <row r="655" spans="1:1">
      <c r="A655" s="24" t="s">
        <v>210</v>
      </c>
    </row>
    <row r="656" spans="1:1">
      <c r="A656" s="24" t="s">
        <v>211</v>
      </c>
    </row>
    <row r="657" spans="1:1">
      <c r="A657" s="24" t="s">
        <v>212</v>
      </c>
    </row>
    <row r="658" spans="1:1">
      <c r="A658" s="24" t="s">
        <v>213</v>
      </c>
    </row>
    <row r="659" spans="1:1">
      <c r="A659" s="24" t="s">
        <v>214</v>
      </c>
    </row>
    <row r="660" spans="1:1">
      <c r="A660" s="24" t="s">
        <v>215</v>
      </c>
    </row>
    <row r="661" spans="1:1">
      <c r="A661" s="24" t="s">
        <v>216</v>
      </c>
    </row>
    <row r="662" spans="1:1">
      <c r="A662" s="24" t="s">
        <v>217</v>
      </c>
    </row>
    <row r="663" spans="1:1">
      <c r="A663" s="24" t="s">
        <v>218</v>
      </c>
    </row>
    <row r="664" spans="1:1">
      <c r="A664" s="24" t="s">
        <v>219</v>
      </c>
    </row>
    <row r="665" spans="1:1">
      <c r="A665" s="24" t="s">
        <v>220</v>
      </c>
    </row>
    <row r="666" spans="1:1">
      <c r="A666" s="24" t="s">
        <v>221</v>
      </c>
    </row>
    <row r="667" spans="1:1">
      <c r="A667" s="24" t="s">
        <v>222</v>
      </c>
    </row>
    <row r="668" spans="1:1">
      <c r="A668" s="24" t="s">
        <v>223</v>
      </c>
    </row>
    <row r="669" spans="1:1">
      <c r="A669" s="24" t="s">
        <v>224</v>
      </c>
    </row>
    <row r="670" spans="1:1">
      <c r="A670" s="24" t="s">
        <v>225</v>
      </c>
    </row>
    <row r="671" spans="1:1">
      <c r="A671" s="24" t="s">
        <v>226</v>
      </c>
    </row>
    <row r="672" spans="1:1">
      <c r="A672" s="24" t="s">
        <v>227</v>
      </c>
    </row>
    <row r="673" spans="1:1">
      <c r="A673" s="24" t="s">
        <v>228</v>
      </c>
    </row>
    <row r="674" spans="1:1">
      <c r="A674" s="24" t="s">
        <v>229</v>
      </c>
    </row>
    <row r="675" spans="1:1">
      <c r="A675" s="24" t="s">
        <v>230</v>
      </c>
    </row>
    <row r="676" spans="1:1">
      <c r="A676" s="24" t="s">
        <v>231</v>
      </c>
    </row>
    <row r="677" spans="1:1">
      <c r="A677" s="24" t="s">
        <v>232</v>
      </c>
    </row>
    <row r="678" spans="1:1">
      <c r="A678" s="24" t="s">
        <v>233</v>
      </c>
    </row>
    <row r="679" spans="1:1">
      <c r="A679" s="24" t="s">
        <v>234</v>
      </c>
    </row>
    <row r="680" spans="1:1">
      <c r="A680" s="24" t="s">
        <v>235</v>
      </c>
    </row>
    <row r="681" spans="1:1">
      <c r="A681" s="24" t="s">
        <v>236</v>
      </c>
    </row>
    <row r="682" spans="1:1">
      <c r="A682" s="24" t="s">
        <v>237</v>
      </c>
    </row>
    <row r="683" spans="1:1">
      <c r="A683" s="24" t="s">
        <v>238</v>
      </c>
    </row>
    <row r="684" spans="1:1">
      <c r="A684" s="24" t="s">
        <v>239</v>
      </c>
    </row>
    <row r="685" spans="1:1">
      <c r="A685" s="24" t="s">
        <v>240</v>
      </c>
    </row>
    <row r="686" spans="1:1">
      <c r="A686" s="24" t="s">
        <v>241</v>
      </c>
    </row>
    <row r="687" spans="1:1">
      <c r="A687" s="24" t="s">
        <v>242</v>
      </c>
    </row>
    <row r="688" spans="1:1">
      <c r="A688" s="24" t="s">
        <v>243</v>
      </c>
    </row>
    <row r="689" spans="1:1">
      <c r="A689" s="24" t="s">
        <v>244</v>
      </c>
    </row>
    <row r="690" spans="1:1">
      <c r="A690" s="24" t="s">
        <v>245</v>
      </c>
    </row>
    <row r="691" spans="1:1">
      <c r="A691" s="24" t="s">
        <v>246</v>
      </c>
    </row>
    <row r="692" spans="1:1">
      <c r="A692" s="24" t="s">
        <v>247</v>
      </c>
    </row>
    <row r="693" spans="1:1">
      <c r="A693" s="24" t="s">
        <v>248</v>
      </c>
    </row>
    <row r="694" spans="1:1">
      <c r="A694" s="24" t="s">
        <v>249</v>
      </c>
    </row>
    <row r="695" spans="1:1">
      <c r="A695" s="24" t="s">
        <v>250</v>
      </c>
    </row>
    <row r="696" spans="1:1">
      <c r="A696" s="24" t="s">
        <v>251</v>
      </c>
    </row>
    <row r="697" spans="1:1">
      <c r="A697" s="24" t="s">
        <v>252</v>
      </c>
    </row>
    <row r="698" spans="1:1">
      <c r="A698" s="24" t="s">
        <v>253</v>
      </c>
    </row>
    <row r="699" spans="1:1">
      <c r="A699" s="24" t="s">
        <v>254</v>
      </c>
    </row>
    <row r="700" spans="1:1">
      <c r="A700" s="24" t="s">
        <v>255</v>
      </c>
    </row>
    <row r="701" spans="1:1">
      <c r="A701" s="24" t="s">
        <v>256</v>
      </c>
    </row>
    <row r="702" spans="1:1">
      <c r="A702" s="24" t="s">
        <v>257</v>
      </c>
    </row>
    <row r="703" spans="1:1">
      <c r="A703" s="24" t="s">
        <v>258</v>
      </c>
    </row>
    <row r="704" spans="1:1">
      <c r="A704" s="24" t="s">
        <v>259</v>
      </c>
    </row>
    <row r="705" spans="1:1">
      <c r="A705" s="24" t="s">
        <v>260</v>
      </c>
    </row>
    <row r="706" spans="1:1">
      <c r="A706" s="24" t="s">
        <v>261</v>
      </c>
    </row>
    <row r="707" spans="1:1">
      <c r="A707" s="24" t="s">
        <v>262</v>
      </c>
    </row>
    <row r="708" spans="1:1">
      <c r="A708" s="24" t="s">
        <v>263</v>
      </c>
    </row>
    <row r="709" spans="1:1">
      <c r="A709" s="24" t="s">
        <v>264</v>
      </c>
    </row>
    <row r="710" spans="1:1">
      <c r="A710" s="24" t="s">
        <v>265</v>
      </c>
    </row>
    <row r="711" spans="1:1">
      <c r="A711" s="24" t="s">
        <v>266</v>
      </c>
    </row>
    <row r="712" spans="1:1">
      <c r="A712" s="24" t="s">
        <v>267</v>
      </c>
    </row>
    <row r="713" spans="1:1">
      <c r="A713" s="24" t="s">
        <v>268</v>
      </c>
    </row>
    <row r="714" spans="1:1">
      <c r="A714" s="24" t="s">
        <v>269</v>
      </c>
    </row>
    <row r="715" spans="1:1">
      <c r="A715" s="24" t="s">
        <v>270</v>
      </c>
    </row>
    <row r="716" spans="1:1">
      <c r="A716" s="24" t="s">
        <v>271</v>
      </c>
    </row>
    <row r="717" spans="1:1">
      <c r="A717" s="24" t="s">
        <v>272</v>
      </c>
    </row>
    <row r="718" spans="1:1">
      <c r="A718" s="24" t="s">
        <v>273</v>
      </c>
    </row>
    <row r="719" spans="1:1">
      <c r="A719" s="24" t="s">
        <v>274</v>
      </c>
    </row>
    <row r="720" spans="1:1">
      <c r="A720" s="24" t="s">
        <v>275</v>
      </c>
    </row>
    <row r="721" spans="1:1">
      <c r="A721" s="24" t="s">
        <v>276</v>
      </c>
    </row>
    <row r="722" spans="1:1">
      <c r="A722" s="24" t="s">
        <v>277</v>
      </c>
    </row>
    <row r="723" spans="1:1">
      <c r="A723" s="24" t="s">
        <v>278</v>
      </c>
    </row>
    <row r="724" spans="1:1">
      <c r="A724" s="24" t="s">
        <v>279</v>
      </c>
    </row>
    <row r="725" spans="1:1">
      <c r="A725" s="24" t="s">
        <v>280</v>
      </c>
    </row>
    <row r="726" spans="1:1">
      <c r="A726" s="24" t="s">
        <v>281</v>
      </c>
    </row>
    <row r="727" spans="1:1">
      <c r="A727" s="24" t="s">
        <v>282</v>
      </c>
    </row>
    <row r="728" spans="1:1">
      <c r="A728" s="24" t="s">
        <v>283</v>
      </c>
    </row>
    <row r="729" spans="1:1">
      <c r="A729" s="24" t="s">
        <v>284</v>
      </c>
    </row>
    <row r="730" spans="1:1">
      <c r="A730" s="24" t="s">
        <v>285</v>
      </c>
    </row>
    <row r="731" spans="1:1">
      <c r="A731" s="24" t="s">
        <v>286</v>
      </c>
    </row>
    <row r="732" spans="1:1">
      <c r="A732" s="24" t="s">
        <v>287</v>
      </c>
    </row>
    <row r="733" spans="1:1">
      <c r="A733" s="24" t="s">
        <v>288</v>
      </c>
    </row>
    <row r="734" spans="1:1">
      <c r="A734" s="24" t="s">
        <v>289</v>
      </c>
    </row>
    <row r="735" spans="1:1">
      <c r="A735" s="24" t="s">
        <v>290</v>
      </c>
    </row>
    <row r="736" spans="1:1">
      <c r="A736" s="24" t="s">
        <v>291</v>
      </c>
    </row>
    <row r="737" spans="1:1">
      <c r="A737" s="24" t="s">
        <v>292</v>
      </c>
    </row>
    <row r="738" spans="1:1">
      <c r="A738" s="24" t="s">
        <v>293</v>
      </c>
    </row>
    <row r="739" spans="1:1">
      <c r="A739" s="24" t="s">
        <v>294</v>
      </c>
    </row>
    <row r="740" spans="1:1">
      <c r="A740" s="24" t="s">
        <v>295</v>
      </c>
    </row>
    <row r="741" spans="1:1">
      <c r="A741" s="24" t="s">
        <v>296</v>
      </c>
    </row>
    <row r="742" spans="1:1">
      <c r="A742" s="24" t="s">
        <v>297</v>
      </c>
    </row>
    <row r="743" spans="1:1">
      <c r="A743" s="24" t="s">
        <v>298</v>
      </c>
    </row>
    <row r="744" spans="1:1">
      <c r="A744" s="24" t="s">
        <v>299</v>
      </c>
    </row>
    <row r="745" spans="1:1">
      <c r="A745" s="24" t="s">
        <v>300</v>
      </c>
    </row>
    <row r="746" spans="1:1">
      <c r="A746" s="24" t="s">
        <v>301</v>
      </c>
    </row>
    <row r="747" spans="1:1">
      <c r="A747" s="24" t="s">
        <v>302</v>
      </c>
    </row>
    <row r="748" spans="1:1">
      <c r="A748" s="24" t="s">
        <v>303</v>
      </c>
    </row>
    <row r="749" spans="1:1">
      <c r="A749" s="24" t="s">
        <v>304</v>
      </c>
    </row>
    <row r="750" spans="1:1">
      <c r="A750" s="24" t="s">
        <v>305</v>
      </c>
    </row>
    <row r="751" spans="1:1">
      <c r="A751" s="24" t="s">
        <v>306</v>
      </c>
    </row>
    <row r="752" spans="1:1">
      <c r="A752" s="24" t="s">
        <v>307</v>
      </c>
    </row>
    <row r="753" spans="1:1">
      <c r="A753" s="24" t="s">
        <v>308</v>
      </c>
    </row>
    <row r="754" spans="1:1">
      <c r="A754" s="24" t="s">
        <v>309</v>
      </c>
    </row>
    <row r="755" spans="1:1">
      <c r="A755" s="24" t="s">
        <v>310</v>
      </c>
    </row>
    <row r="756" spans="1:1">
      <c r="A756" s="24" t="s">
        <v>311</v>
      </c>
    </row>
    <row r="757" spans="1:1">
      <c r="A757" s="24" t="s">
        <v>312</v>
      </c>
    </row>
    <row r="758" spans="1:1">
      <c r="A758" s="24" t="s">
        <v>313</v>
      </c>
    </row>
    <row r="759" spans="1:1">
      <c r="A759" s="24" t="s">
        <v>314</v>
      </c>
    </row>
    <row r="760" spans="1:1">
      <c r="A760" s="24" t="s">
        <v>315</v>
      </c>
    </row>
    <row r="761" spans="1:1">
      <c r="A761" s="24" t="s">
        <v>316</v>
      </c>
    </row>
    <row r="762" spans="1:1">
      <c r="A762" s="24" t="s">
        <v>317</v>
      </c>
    </row>
    <row r="763" spans="1:1">
      <c r="A763" s="24" t="s">
        <v>318</v>
      </c>
    </row>
    <row r="764" spans="1:1">
      <c r="A764" s="24" t="s">
        <v>319</v>
      </c>
    </row>
    <row r="765" spans="1:1">
      <c r="A765" s="24" t="s">
        <v>320</v>
      </c>
    </row>
    <row r="766" spans="1:1">
      <c r="A766" s="24" t="s">
        <v>321</v>
      </c>
    </row>
    <row r="767" spans="1:1">
      <c r="A767" s="24" t="s">
        <v>322</v>
      </c>
    </row>
    <row r="768" spans="1:1">
      <c r="A768" s="24" t="s">
        <v>323</v>
      </c>
    </row>
    <row r="769" spans="1:1">
      <c r="A769" s="24" t="s">
        <v>324</v>
      </c>
    </row>
    <row r="770" spans="1:1">
      <c r="A770" s="24" t="s">
        <v>325</v>
      </c>
    </row>
    <row r="771" spans="1:1">
      <c r="A771" s="24" t="s">
        <v>326</v>
      </c>
    </row>
    <row r="772" spans="1:1">
      <c r="A772" s="24" t="s">
        <v>327</v>
      </c>
    </row>
    <row r="773" spans="1:1">
      <c r="A773" s="24" t="s">
        <v>328</v>
      </c>
    </row>
    <row r="774" spans="1:1">
      <c r="A774" s="24" t="s">
        <v>329</v>
      </c>
    </row>
    <row r="775" spans="1:1">
      <c r="A775" s="24" t="s">
        <v>330</v>
      </c>
    </row>
    <row r="776" spans="1:1">
      <c r="A776" s="24" t="s">
        <v>331</v>
      </c>
    </row>
    <row r="777" spans="1:1">
      <c r="A777" s="24" t="s">
        <v>332</v>
      </c>
    </row>
    <row r="778" spans="1:1">
      <c r="A778" s="24" t="s">
        <v>333</v>
      </c>
    </row>
    <row r="779" spans="1:1">
      <c r="A779" s="24" t="s">
        <v>334</v>
      </c>
    </row>
    <row r="780" spans="1:1">
      <c r="A780" s="24" t="s">
        <v>335</v>
      </c>
    </row>
    <row r="781" spans="1:1">
      <c r="A781" s="24" t="s">
        <v>336</v>
      </c>
    </row>
    <row r="782" spans="1:1">
      <c r="A782" s="24" t="s">
        <v>337</v>
      </c>
    </row>
    <row r="783" spans="1:1">
      <c r="A783" s="24" t="s">
        <v>338</v>
      </c>
    </row>
    <row r="784" spans="1:1">
      <c r="A784" s="24" t="s">
        <v>339</v>
      </c>
    </row>
    <row r="785" spans="1:1">
      <c r="A785" s="24" t="s">
        <v>340</v>
      </c>
    </row>
    <row r="786" spans="1:1">
      <c r="A786" s="24" t="s">
        <v>341</v>
      </c>
    </row>
    <row r="787" spans="1:1">
      <c r="A787" s="24" t="s">
        <v>342</v>
      </c>
    </row>
    <row r="788" spans="1:1">
      <c r="A788" s="24" t="s">
        <v>343</v>
      </c>
    </row>
    <row r="789" spans="1:1">
      <c r="A789" s="24" t="s">
        <v>344</v>
      </c>
    </row>
    <row r="790" spans="1:1">
      <c r="A790" s="24" t="s">
        <v>345</v>
      </c>
    </row>
    <row r="791" spans="1:1">
      <c r="A791" s="24" t="s">
        <v>346</v>
      </c>
    </row>
    <row r="792" spans="1:1">
      <c r="A792" s="24" t="s">
        <v>347</v>
      </c>
    </row>
    <row r="793" spans="1:1">
      <c r="A793" s="24" t="s">
        <v>348</v>
      </c>
    </row>
    <row r="794" spans="1:1">
      <c r="A794" s="24" t="s">
        <v>349</v>
      </c>
    </row>
    <row r="795" spans="1:1">
      <c r="A795" s="24" t="s">
        <v>350</v>
      </c>
    </row>
    <row r="796" spans="1:1">
      <c r="A796" s="24" t="s">
        <v>351</v>
      </c>
    </row>
    <row r="797" spans="1:1">
      <c r="A797" s="24" t="s">
        <v>352</v>
      </c>
    </row>
    <row r="798" spans="1:1">
      <c r="A798" s="24" t="s">
        <v>353</v>
      </c>
    </row>
    <row r="799" spans="1:1">
      <c r="A799" s="24" t="s">
        <v>354</v>
      </c>
    </row>
    <row r="800" spans="1:1">
      <c r="A800" s="24" t="s">
        <v>355</v>
      </c>
    </row>
    <row r="801" spans="1:1">
      <c r="A801" s="24" t="s">
        <v>356</v>
      </c>
    </row>
    <row r="802" spans="1:1">
      <c r="A802" s="24" t="s">
        <v>357</v>
      </c>
    </row>
    <row r="803" spans="1:1">
      <c r="A803" s="24" t="s">
        <v>358</v>
      </c>
    </row>
    <row r="804" spans="1:1">
      <c r="A804" s="24" t="s">
        <v>359</v>
      </c>
    </row>
    <row r="805" spans="1:1">
      <c r="A805" s="24" t="s">
        <v>360</v>
      </c>
    </row>
    <row r="806" spans="1:1">
      <c r="A806" s="24" t="s">
        <v>361</v>
      </c>
    </row>
    <row r="807" spans="1:1">
      <c r="A807" s="24" t="s">
        <v>362</v>
      </c>
    </row>
    <row r="808" spans="1:1">
      <c r="A808" s="24" t="s">
        <v>363</v>
      </c>
    </row>
    <row r="809" spans="1:1">
      <c r="A809" s="24" t="s">
        <v>364</v>
      </c>
    </row>
    <row r="810" spans="1:1">
      <c r="A810" s="24" t="s">
        <v>365</v>
      </c>
    </row>
    <row r="811" spans="1:1">
      <c r="A811" s="24" t="s">
        <v>366</v>
      </c>
    </row>
    <row r="812" spans="1:1">
      <c r="A812" s="24" t="s">
        <v>367</v>
      </c>
    </row>
    <row r="813" spans="1:1">
      <c r="A813" s="24" t="s">
        <v>368</v>
      </c>
    </row>
    <row r="814" spans="1:1">
      <c r="A814" s="24" t="s">
        <v>369</v>
      </c>
    </row>
    <row r="815" spans="1:1">
      <c r="A815" s="24" t="s">
        <v>370</v>
      </c>
    </row>
    <row r="816" spans="1:1">
      <c r="A816" s="24" t="s">
        <v>371</v>
      </c>
    </row>
    <row r="817" spans="1:1">
      <c r="A817" s="24" t="s">
        <v>372</v>
      </c>
    </row>
    <row r="818" spans="1:1">
      <c r="A818" s="24" t="s">
        <v>373</v>
      </c>
    </row>
    <row r="819" spans="1:1">
      <c r="A819" s="24" t="s">
        <v>374</v>
      </c>
    </row>
    <row r="820" spans="1:1">
      <c r="A820" s="24" t="s">
        <v>375</v>
      </c>
    </row>
    <row r="821" spans="1:1">
      <c r="A821" s="24" t="s">
        <v>376</v>
      </c>
    </row>
    <row r="822" spans="1:1">
      <c r="A822" s="24" t="s">
        <v>377</v>
      </c>
    </row>
    <row r="823" spans="1:1">
      <c r="A823" s="24" t="s">
        <v>378</v>
      </c>
    </row>
    <row r="824" spans="1:1">
      <c r="A824" s="24" t="s">
        <v>379</v>
      </c>
    </row>
    <row r="825" spans="1:1">
      <c r="A825" s="24" t="s">
        <v>380</v>
      </c>
    </row>
    <row r="826" spans="1:1">
      <c r="A826" s="24" t="s">
        <v>381</v>
      </c>
    </row>
    <row r="827" spans="1:1">
      <c r="A827" s="24" t="s">
        <v>382</v>
      </c>
    </row>
    <row r="828" spans="1:1">
      <c r="A828" s="24" t="s">
        <v>383</v>
      </c>
    </row>
    <row r="829" spans="1:1">
      <c r="A829" s="24" t="s">
        <v>384</v>
      </c>
    </row>
    <row r="830" spans="1:1">
      <c r="A830" s="24" t="s">
        <v>385</v>
      </c>
    </row>
    <row r="831" spans="1:1">
      <c r="A831" s="24" t="s">
        <v>386</v>
      </c>
    </row>
    <row r="832" spans="1:1">
      <c r="A832" s="24" t="s">
        <v>387</v>
      </c>
    </row>
    <row r="833" spans="1:1">
      <c r="A833" s="24" t="s">
        <v>388</v>
      </c>
    </row>
    <row r="834" spans="1:1">
      <c r="A834" s="24" t="s">
        <v>389</v>
      </c>
    </row>
    <row r="835" spans="1:1">
      <c r="A835" s="24" t="s">
        <v>390</v>
      </c>
    </row>
    <row r="836" spans="1:1">
      <c r="A836" s="24" t="s">
        <v>391</v>
      </c>
    </row>
    <row r="837" spans="1:1">
      <c r="A837" s="24" t="s">
        <v>392</v>
      </c>
    </row>
    <row r="838" spans="1:1">
      <c r="A838" s="24" t="s">
        <v>393</v>
      </c>
    </row>
    <row r="839" spans="1:1">
      <c r="A839" s="24" t="s">
        <v>394</v>
      </c>
    </row>
    <row r="840" spans="1:1">
      <c r="A840" s="24" t="s">
        <v>395</v>
      </c>
    </row>
    <row r="841" spans="1:1">
      <c r="A841" s="24" t="s">
        <v>396</v>
      </c>
    </row>
    <row r="842" spans="1:1">
      <c r="A842" s="24" t="s">
        <v>397</v>
      </c>
    </row>
    <row r="843" spans="1:1">
      <c r="A843" s="24" t="s">
        <v>398</v>
      </c>
    </row>
    <row r="844" spans="1:1">
      <c r="A844" s="24" t="s">
        <v>399</v>
      </c>
    </row>
    <row r="845" spans="1:1">
      <c r="A845" s="24" t="s">
        <v>400</v>
      </c>
    </row>
    <row r="846" spans="1:1">
      <c r="A846" s="24" t="s">
        <v>401</v>
      </c>
    </row>
    <row r="847" spans="1:1">
      <c r="A847" s="24" t="s">
        <v>402</v>
      </c>
    </row>
    <row r="848" spans="1:1">
      <c r="A848" s="24" t="s">
        <v>403</v>
      </c>
    </row>
    <row r="849" spans="1:1">
      <c r="A849" s="24" t="s">
        <v>404</v>
      </c>
    </row>
    <row r="850" spans="1:1">
      <c r="A850" s="24" t="s">
        <v>405</v>
      </c>
    </row>
    <row r="851" spans="1:1">
      <c r="A851" s="24" t="s">
        <v>406</v>
      </c>
    </row>
    <row r="852" spans="1:1">
      <c r="A852" s="24" t="s">
        <v>407</v>
      </c>
    </row>
    <row r="853" spans="1:1">
      <c r="A853" s="24" t="s">
        <v>408</v>
      </c>
    </row>
    <row r="854" spans="1:1">
      <c r="A854" s="24" t="s">
        <v>409</v>
      </c>
    </row>
    <row r="855" spans="1:1">
      <c r="A855" s="24" t="s">
        <v>410</v>
      </c>
    </row>
    <row r="856" spans="1:1">
      <c r="A856" s="24" t="s">
        <v>411</v>
      </c>
    </row>
    <row r="857" spans="1:1">
      <c r="A857" s="24" t="s">
        <v>412</v>
      </c>
    </row>
  </sheetData>
  <phoneticPr fontId="21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:I23"/>
  <sheetViews>
    <sheetView workbookViewId="0">
      <selection activeCell="I23" sqref="I23"/>
    </sheetView>
  </sheetViews>
  <sheetFormatPr defaultRowHeight="15"/>
  <cols>
    <col min="1" max="1" width="2.140625" bestFit="1" customWidth="1"/>
    <col min="2" max="2" width="10" bestFit="1" customWidth="1"/>
    <col min="3" max="3" width="22.7109375" bestFit="1" customWidth="1"/>
    <col min="4" max="4" width="2.140625" bestFit="1" customWidth="1"/>
    <col min="5" max="5" width="10" bestFit="1" customWidth="1"/>
    <col min="6" max="6" width="70" bestFit="1" customWidth="1"/>
    <col min="7" max="7" width="2.140625" style="36" bestFit="1" customWidth="1"/>
    <col min="8" max="8" width="37.42578125" bestFit="1" customWidth="1"/>
    <col min="9" max="9" width="11" bestFit="1" customWidth="1"/>
  </cols>
  <sheetData>
    <row r="1" spans="1:9" ht="15.75" thickBot="1">
      <c r="A1" s="36" t="s">
        <v>1126</v>
      </c>
      <c r="B1" s="250" t="s">
        <v>1125</v>
      </c>
      <c r="C1" s="251"/>
      <c r="D1" s="36" t="s">
        <v>1126</v>
      </c>
      <c r="E1" s="252" t="s">
        <v>1127</v>
      </c>
      <c r="F1" s="253"/>
      <c r="G1" s="36" t="s">
        <v>1126</v>
      </c>
      <c r="H1" s="56" t="s">
        <v>1143</v>
      </c>
      <c r="I1" s="57" t="s">
        <v>1144</v>
      </c>
    </row>
    <row r="2" spans="1:9">
      <c r="A2" s="36"/>
      <c r="B2" s="37" t="s">
        <v>1128</v>
      </c>
      <c r="C2" s="38" t="str">
        <f>VLOOKUP(C3,H1:I12,2,FALSE)</f>
        <v>MySQL</v>
      </c>
      <c r="D2" s="36"/>
      <c r="E2" s="37" t="s">
        <v>1128</v>
      </c>
      <c r="F2" s="38" t="str">
        <f>VLOOKUP(F3,H1:I12,2,FALSE)</f>
        <v>Access2003</v>
      </c>
      <c r="H2" s="55" t="s">
        <v>1145</v>
      </c>
      <c r="I2" s="55" t="s">
        <v>1146</v>
      </c>
    </row>
    <row r="3" spans="1:9">
      <c r="A3" s="36"/>
      <c r="B3" s="39" t="s">
        <v>1129</v>
      </c>
      <c r="C3" s="40" t="s">
        <v>1130</v>
      </c>
      <c r="D3" s="36"/>
      <c r="E3" s="39" t="s">
        <v>1129</v>
      </c>
      <c r="F3" s="40" t="s">
        <v>1131</v>
      </c>
      <c r="H3" s="54" t="s">
        <v>1131</v>
      </c>
      <c r="I3" s="54" t="s">
        <v>1147</v>
      </c>
    </row>
    <row r="4" spans="1:9">
      <c r="A4" s="36"/>
      <c r="B4" s="39" t="s">
        <v>1132</v>
      </c>
      <c r="C4" s="40" t="s">
        <v>1133</v>
      </c>
      <c r="D4" s="36"/>
      <c r="E4" s="39" t="s">
        <v>1132</v>
      </c>
      <c r="F4" s="40" t="str">
        <f>getPath('JOSEFINA DA SILVA'!B1)</f>
        <v>C:\Users\AILTON\Desktop\@VENDAS\db\</v>
      </c>
      <c r="H4" s="54" t="s">
        <v>1148</v>
      </c>
      <c r="I4" s="54" t="s">
        <v>1149</v>
      </c>
    </row>
    <row r="5" spans="1:9">
      <c r="A5" s="36"/>
      <c r="B5" s="39" t="s">
        <v>1134</v>
      </c>
      <c r="C5" s="40" t="s">
        <v>1135</v>
      </c>
      <c r="D5" s="36"/>
      <c r="E5" s="39" t="s">
        <v>1134</v>
      </c>
      <c r="F5" s="40" t="str">
        <f>getFileNameAndExt('JOSEFINA DA SILVA'!B1)</f>
        <v>dbOrcamentos.mdb</v>
      </c>
      <c r="H5" s="54" t="s">
        <v>1130</v>
      </c>
      <c r="I5" s="54" t="s">
        <v>1150</v>
      </c>
    </row>
    <row r="6" spans="1:9">
      <c r="A6" s="36"/>
      <c r="B6" s="39" t="s">
        <v>1136</v>
      </c>
      <c r="C6" s="40" t="s">
        <v>1137</v>
      </c>
      <c r="D6" s="36"/>
      <c r="E6" s="39" t="s">
        <v>1136</v>
      </c>
      <c r="F6" s="40" t="s">
        <v>1138</v>
      </c>
      <c r="H6" s="54" t="s">
        <v>1151</v>
      </c>
      <c r="I6" s="54" t="s">
        <v>1152</v>
      </c>
    </row>
    <row r="7" spans="1:9">
      <c r="A7" s="36"/>
      <c r="B7" s="39" t="s">
        <v>1139</v>
      </c>
      <c r="C7" s="40" t="s">
        <v>1140</v>
      </c>
      <c r="D7" s="36"/>
      <c r="E7" s="39" t="s">
        <v>1139</v>
      </c>
      <c r="F7" s="40" t="s">
        <v>1141</v>
      </c>
      <c r="H7" s="54" t="s">
        <v>1190</v>
      </c>
      <c r="I7" s="54" t="s">
        <v>1150</v>
      </c>
    </row>
    <row r="8" spans="1:9" ht="15.75" thickBot="1">
      <c r="A8" s="36"/>
      <c r="B8" s="41" t="s">
        <v>1142</v>
      </c>
      <c r="C8" s="42">
        <v>3306</v>
      </c>
      <c r="D8" s="36"/>
      <c r="E8" s="41" t="s">
        <v>1142</v>
      </c>
      <c r="F8" s="42"/>
      <c r="H8" s="54"/>
      <c r="I8" s="54"/>
    </row>
    <row r="9" spans="1:9">
      <c r="H9" s="54"/>
      <c r="I9" s="54"/>
    </row>
    <row r="10" spans="1:9">
      <c r="H10" s="54"/>
      <c r="I10" s="54"/>
    </row>
    <row r="11" spans="1:9">
      <c r="C11" s="33" t="s">
        <v>1283</v>
      </c>
      <c r="H11" s="54"/>
      <c r="I11" s="54"/>
    </row>
    <row r="12" spans="1:9">
      <c r="B12" t="s">
        <v>1132</v>
      </c>
      <c r="C12" t="s">
        <v>1133</v>
      </c>
      <c r="E12" s="118"/>
      <c r="F12" s="118"/>
      <c r="H12" s="54"/>
      <c r="I12" s="54"/>
    </row>
    <row r="13" spans="1:9">
      <c r="B13" t="s">
        <v>1134</v>
      </c>
      <c r="C13" t="s">
        <v>1135</v>
      </c>
      <c r="E13" s="119"/>
      <c r="F13" s="119"/>
    </row>
    <row r="14" spans="1:9">
      <c r="B14" t="s">
        <v>1136</v>
      </c>
      <c r="C14" t="s">
        <v>1137</v>
      </c>
      <c r="E14" s="118"/>
      <c r="F14" s="118"/>
    </row>
    <row r="15" spans="1:9">
      <c r="B15" t="s">
        <v>1139</v>
      </c>
      <c r="C15" t="s">
        <v>1140</v>
      </c>
      <c r="E15" s="118"/>
      <c r="F15" s="118"/>
    </row>
    <row r="16" spans="1:9">
      <c r="B16" t="s">
        <v>1142</v>
      </c>
      <c r="C16">
        <v>3306</v>
      </c>
      <c r="E16" s="119"/>
      <c r="F16" s="119"/>
    </row>
    <row r="18" spans="2:3">
      <c r="C18" s="33" t="s">
        <v>1282</v>
      </c>
    </row>
    <row r="19" spans="2:3">
      <c r="B19" t="s">
        <v>1132</v>
      </c>
      <c r="C19" t="s">
        <v>1180</v>
      </c>
    </row>
    <row r="20" spans="2:3">
      <c r="B20" t="s">
        <v>1134</v>
      </c>
      <c r="C20" t="s">
        <v>1179</v>
      </c>
    </row>
    <row r="21" spans="2:3">
      <c r="B21" t="s">
        <v>1136</v>
      </c>
      <c r="C21" t="s">
        <v>1178</v>
      </c>
    </row>
    <row r="22" spans="2:3">
      <c r="B22" t="s">
        <v>1139</v>
      </c>
      <c r="C22" t="s">
        <v>1140</v>
      </c>
    </row>
    <row r="23" spans="2:3">
      <c r="B23" t="s">
        <v>1142</v>
      </c>
      <c r="C23">
        <v>3306</v>
      </c>
    </row>
  </sheetData>
  <mergeCells count="2">
    <mergeCell ref="B1:C1"/>
    <mergeCell ref="E1:F1"/>
  </mergeCells>
  <dataValidations disablePrompts="1" count="1">
    <dataValidation type="list" allowBlank="1" showInputMessage="1" showErrorMessage="1" sqref="C3 F3">
      <formula1>DRIVERS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1">
    <pageSetUpPr fitToPage="1"/>
  </sheetPr>
  <dimension ref="A1:AC51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5"/>
  <cols>
    <col min="2" max="2" width="40.85546875" bestFit="1" customWidth="1"/>
    <col min="3" max="4" width="9" bestFit="1" customWidth="1"/>
    <col min="5" max="5" width="19.28515625" bestFit="1" customWidth="1"/>
    <col min="7" max="8" width="13" customWidth="1"/>
    <col min="9" max="9" width="22.7109375" bestFit="1" customWidth="1"/>
    <col min="10" max="11" width="19.28515625" bestFit="1" customWidth="1"/>
    <col min="12" max="13" width="19" customWidth="1"/>
    <col min="14" max="14" width="23.5703125" bestFit="1" customWidth="1"/>
    <col min="15" max="16" width="19" customWidth="1"/>
    <col min="19" max="19" width="33.5703125" customWidth="1"/>
    <col min="20" max="20" width="26.85546875" customWidth="1"/>
    <col min="21" max="21" width="32.42578125" bestFit="1" customWidth="1"/>
    <col min="26" max="26" width="14.85546875" bestFit="1" customWidth="1"/>
    <col min="28" max="28" width="9.5703125" bestFit="1" customWidth="1"/>
    <col min="29" max="29" width="13.28515625" bestFit="1" customWidth="1"/>
  </cols>
  <sheetData>
    <row r="1" spans="1:29">
      <c r="S1" s="254" t="s">
        <v>1233</v>
      </c>
      <c r="T1" s="254"/>
      <c r="U1" s="254"/>
    </row>
    <row r="2" spans="1:29" ht="21">
      <c r="B2" s="199" t="s">
        <v>621</v>
      </c>
      <c r="C2" s="199"/>
      <c r="D2" s="199"/>
      <c r="G2" s="199" t="s">
        <v>1228</v>
      </c>
      <c r="H2" s="199"/>
      <c r="I2" s="199"/>
      <c r="J2" s="199"/>
      <c r="L2" s="199" t="s">
        <v>1231</v>
      </c>
      <c r="M2" s="199"/>
      <c r="N2" s="199"/>
      <c r="O2" s="199"/>
      <c r="P2" s="199"/>
      <c r="S2" s="254" t="s">
        <v>1234</v>
      </c>
      <c r="T2" s="254"/>
      <c r="U2" s="254"/>
      <c r="X2" s="255" t="s">
        <v>1247</v>
      </c>
      <c r="Y2" s="256"/>
      <c r="Z2" s="256"/>
      <c r="AA2" s="256"/>
      <c r="AB2" s="256"/>
      <c r="AC2" s="257"/>
    </row>
    <row r="3" spans="1:29" ht="15.75">
      <c r="A3" s="15" t="s">
        <v>1269</v>
      </c>
      <c r="B3" s="15" t="s">
        <v>593</v>
      </c>
      <c r="C3" s="15" t="s">
        <v>622</v>
      </c>
      <c r="D3" s="15" t="s">
        <v>623</v>
      </c>
      <c r="E3" s="15" t="s">
        <v>585</v>
      </c>
      <c r="G3" s="15" t="s">
        <v>1226</v>
      </c>
      <c r="H3" s="15" t="s">
        <v>1225</v>
      </c>
      <c r="I3" s="15" t="s">
        <v>585</v>
      </c>
      <c r="J3" s="15" t="s">
        <v>1227</v>
      </c>
      <c r="L3" s="15" t="s">
        <v>1230</v>
      </c>
      <c r="M3" s="15" t="s">
        <v>1254</v>
      </c>
      <c r="N3" s="15" t="s">
        <v>1256</v>
      </c>
      <c r="O3" s="15" t="s">
        <v>1229</v>
      </c>
      <c r="P3" s="15" t="s">
        <v>1232</v>
      </c>
      <c r="S3" s="136" t="s">
        <v>1235</v>
      </c>
      <c r="T3" s="136" t="s">
        <v>1236</v>
      </c>
      <c r="U3" s="136" t="s">
        <v>1237</v>
      </c>
      <c r="X3" s="54" t="s">
        <v>1250</v>
      </c>
      <c r="Y3" s="141" t="s">
        <v>1253</v>
      </c>
      <c r="Z3" s="54" t="s">
        <v>1251</v>
      </c>
      <c r="AA3" s="54" t="s">
        <v>1248</v>
      </c>
      <c r="AB3" s="54" t="s">
        <v>1249</v>
      </c>
      <c r="AC3" s="54" t="s">
        <v>1252</v>
      </c>
    </row>
    <row r="4" spans="1:29">
      <c r="A4" s="54">
        <v>11</v>
      </c>
      <c r="B4" s="121" t="s">
        <v>1211</v>
      </c>
      <c r="C4" s="128" t="s">
        <v>1202</v>
      </c>
      <c r="D4" s="128" t="s">
        <v>1203</v>
      </c>
      <c r="E4" s="134" t="s">
        <v>1224</v>
      </c>
      <c r="G4" s="120">
        <v>4</v>
      </c>
      <c r="H4" s="150">
        <v>460</v>
      </c>
      <c r="I4" s="54" t="s">
        <v>1153</v>
      </c>
      <c r="J4" s="132" t="s">
        <v>1223</v>
      </c>
      <c r="L4" s="54" t="s">
        <v>1255</v>
      </c>
      <c r="M4" s="144">
        <f>(P4-N4)/(1-O4)</f>
        <v>3738.116129032258</v>
      </c>
      <c r="N4" s="145">
        <v>602.96</v>
      </c>
      <c r="O4" s="146">
        <v>0.22500000000000001</v>
      </c>
      <c r="P4" s="135">
        <v>3500</v>
      </c>
      <c r="S4" s="137" t="s">
        <v>1238</v>
      </c>
      <c r="T4" s="138" t="s">
        <v>1239</v>
      </c>
      <c r="U4" s="138" t="s">
        <v>1239</v>
      </c>
      <c r="X4" s="54">
        <v>1000</v>
      </c>
      <c r="Y4" s="141">
        <v>5786</v>
      </c>
      <c r="Z4" s="143">
        <f>(Y4+(360*4))/X4</f>
        <v>7.226</v>
      </c>
      <c r="AA4" s="135">
        <v>1.85</v>
      </c>
      <c r="AB4" s="142">
        <f>AA4*Z4</f>
        <v>13.3681</v>
      </c>
      <c r="AC4" s="142">
        <f>AB4*X4</f>
        <v>13368.1</v>
      </c>
    </row>
    <row r="5" spans="1:29">
      <c r="A5" s="54">
        <v>12</v>
      </c>
      <c r="B5" s="121" t="s">
        <v>1212</v>
      </c>
      <c r="C5" s="125" t="s">
        <v>1197</v>
      </c>
      <c r="D5" s="126" t="s">
        <v>1198</v>
      </c>
      <c r="E5" s="133" t="s">
        <v>1223</v>
      </c>
      <c r="G5" s="120">
        <v>8</v>
      </c>
      <c r="H5" s="150">
        <v>860</v>
      </c>
      <c r="I5" s="121" t="s">
        <v>1153</v>
      </c>
      <c r="J5" s="132" t="s">
        <v>1223</v>
      </c>
      <c r="L5" s="54" t="s">
        <v>1257</v>
      </c>
      <c r="M5" s="144">
        <f>(P5-N5)/(1-O5)</f>
        <v>1799.9675675675676</v>
      </c>
      <c r="N5" s="145">
        <v>335.03</v>
      </c>
      <c r="O5" s="146">
        <v>7.4999999999999997E-2</v>
      </c>
      <c r="P5" s="135">
        <v>2000</v>
      </c>
      <c r="S5" s="137" t="s">
        <v>1240</v>
      </c>
      <c r="T5" s="138" t="s">
        <v>1241</v>
      </c>
      <c r="U5" s="139">
        <v>134.08000000000001</v>
      </c>
      <c r="X5" s="54">
        <v>2000</v>
      </c>
      <c r="Y5" s="141">
        <v>10307</v>
      </c>
      <c r="Z5" s="143">
        <f>(Y5+(360*4))/X5</f>
        <v>5.8734999999999999</v>
      </c>
      <c r="AA5" s="135">
        <v>1.85</v>
      </c>
      <c r="AB5" s="142">
        <f>AA5*Z5</f>
        <v>10.865975000000001</v>
      </c>
      <c r="AC5" s="142">
        <f>AB5*X5</f>
        <v>21731.95</v>
      </c>
    </row>
    <row r="6" spans="1:29">
      <c r="A6" s="54">
        <v>18</v>
      </c>
      <c r="B6" s="121" t="s">
        <v>1220</v>
      </c>
      <c r="C6" s="130" t="s">
        <v>1206</v>
      </c>
      <c r="D6" s="130" t="s">
        <v>1207</v>
      </c>
      <c r="E6" s="133" t="s">
        <v>1223</v>
      </c>
      <c r="G6" s="120">
        <v>12</v>
      </c>
      <c r="H6" s="150">
        <v>1260</v>
      </c>
      <c r="I6" s="121" t="s">
        <v>1153</v>
      </c>
      <c r="J6" s="132" t="s">
        <v>1223</v>
      </c>
      <c r="M6" s="258" t="s">
        <v>1267</v>
      </c>
      <c r="N6" s="258"/>
      <c r="O6" s="258"/>
      <c r="S6" s="137" t="s">
        <v>1242</v>
      </c>
      <c r="T6" s="140">
        <v>15</v>
      </c>
      <c r="U6" s="138">
        <v>335.03</v>
      </c>
      <c r="X6" s="54">
        <v>3000</v>
      </c>
      <c r="Y6" s="141">
        <v>13638</v>
      </c>
      <c r="Z6" s="143">
        <f>(Y6+(360*4))/X6</f>
        <v>5.0259999999999998</v>
      </c>
      <c r="AA6" s="135">
        <v>1.85</v>
      </c>
      <c r="AB6" s="142">
        <f>AA6*Z6</f>
        <v>9.2980999999999998</v>
      </c>
      <c r="AC6" s="142">
        <f>AB6*X6</f>
        <v>27894.3</v>
      </c>
    </row>
    <row r="7" spans="1:29">
      <c r="A7" s="54">
        <v>19</v>
      </c>
      <c r="B7" s="121" t="s">
        <v>1221</v>
      </c>
      <c r="C7" s="130" t="s">
        <v>1219</v>
      </c>
      <c r="D7" s="130" t="s">
        <v>1206</v>
      </c>
      <c r="E7" s="133" t="s">
        <v>1223</v>
      </c>
      <c r="G7" s="120">
        <v>16</v>
      </c>
      <c r="H7" s="150">
        <v>1710</v>
      </c>
      <c r="I7" s="121" t="s">
        <v>1153</v>
      </c>
      <c r="J7" s="132" t="s">
        <v>1223</v>
      </c>
      <c r="S7" s="137" t="s">
        <v>1243</v>
      </c>
      <c r="T7" s="138" t="s">
        <v>1244</v>
      </c>
      <c r="U7" s="138">
        <v>602.96</v>
      </c>
      <c r="X7" s="54">
        <v>5000</v>
      </c>
      <c r="Y7" s="141">
        <v>20382</v>
      </c>
      <c r="Z7" s="143">
        <f>(Y7+(360*4))/X7</f>
        <v>4.3643999999999998</v>
      </c>
      <c r="AA7" s="135">
        <v>1.85</v>
      </c>
      <c r="AB7" s="142">
        <f>AA7*Z7</f>
        <v>8.0741399999999999</v>
      </c>
      <c r="AC7" s="142">
        <f>AB7*X7</f>
        <v>40370.699999999997</v>
      </c>
    </row>
    <row r="8" spans="1:29">
      <c r="A8" s="54">
        <v>1</v>
      </c>
      <c r="B8" s="121" t="s">
        <v>1191</v>
      </c>
      <c r="C8" s="125" t="s">
        <v>1192</v>
      </c>
      <c r="D8" s="125" t="s">
        <v>1193</v>
      </c>
      <c r="E8" s="133" t="s">
        <v>1223</v>
      </c>
      <c r="G8" s="120">
        <v>20</v>
      </c>
      <c r="H8" s="150">
        <v>2110</v>
      </c>
      <c r="I8" s="121" t="s">
        <v>1153</v>
      </c>
      <c r="J8" s="132" t="s">
        <v>1223</v>
      </c>
      <c r="S8" s="137" t="s">
        <v>1245</v>
      </c>
      <c r="T8" s="138" t="s">
        <v>1246</v>
      </c>
      <c r="U8" s="138">
        <v>826.15</v>
      </c>
      <c r="Z8" s="147" t="s">
        <v>1267</v>
      </c>
      <c r="AB8" s="258" t="s">
        <v>1267</v>
      </c>
      <c r="AC8" s="258"/>
    </row>
    <row r="9" spans="1:29">
      <c r="A9" s="54">
        <v>16</v>
      </c>
      <c r="B9" s="121" t="s">
        <v>1217</v>
      </c>
      <c r="C9" s="131" t="s">
        <v>1206</v>
      </c>
      <c r="D9" s="131" t="s">
        <v>1207</v>
      </c>
      <c r="E9" s="133" t="s">
        <v>1223</v>
      </c>
      <c r="G9" s="120">
        <v>24</v>
      </c>
      <c r="H9" s="150">
        <v>2560</v>
      </c>
      <c r="I9" s="121" t="s">
        <v>1153</v>
      </c>
      <c r="J9" s="132" t="s">
        <v>1223</v>
      </c>
    </row>
    <row r="10" spans="1:29">
      <c r="A10" s="54">
        <v>17</v>
      </c>
      <c r="B10" s="121" t="s">
        <v>1218</v>
      </c>
      <c r="C10" s="130" t="s">
        <v>1219</v>
      </c>
      <c r="D10" s="130" t="s">
        <v>1206</v>
      </c>
      <c r="E10" s="133" t="s">
        <v>1223</v>
      </c>
      <c r="G10" s="120">
        <v>28</v>
      </c>
      <c r="H10" s="150">
        <v>2961</v>
      </c>
      <c r="I10" s="121" t="s">
        <v>1153</v>
      </c>
      <c r="J10" s="132" t="s">
        <v>1223</v>
      </c>
    </row>
    <row r="11" spans="1:29">
      <c r="A11" s="54">
        <v>20</v>
      </c>
      <c r="B11" s="121" t="s">
        <v>1222</v>
      </c>
      <c r="C11" s="130" t="s">
        <v>1206</v>
      </c>
      <c r="D11" s="130" t="s">
        <v>1206</v>
      </c>
      <c r="E11" s="133" t="s">
        <v>1223</v>
      </c>
      <c r="G11" s="120">
        <v>32</v>
      </c>
      <c r="H11" s="150">
        <v>3370</v>
      </c>
      <c r="I11" s="121" t="s">
        <v>1153</v>
      </c>
      <c r="J11" s="132" t="s">
        <v>1223</v>
      </c>
    </row>
    <row r="12" spans="1:29">
      <c r="A12" s="54">
        <v>13</v>
      </c>
      <c r="B12" s="121" t="s">
        <v>1213</v>
      </c>
      <c r="C12" s="127" t="s">
        <v>1192</v>
      </c>
      <c r="D12" s="127" t="s">
        <v>1202</v>
      </c>
      <c r="E12" s="133" t="s">
        <v>1223</v>
      </c>
      <c r="G12" s="120">
        <v>36</v>
      </c>
      <c r="H12" s="150">
        <v>3791</v>
      </c>
      <c r="I12" s="121" t="s">
        <v>1153</v>
      </c>
      <c r="J12" s="132" t="s">
        <v>1223</v>
      </c>
    </row>
    <row r="13" spans="1:29">
      <c r="A13" s="54">
        <v>15</v>
      </c>
      <c r="B13" s="121" t="s">
        <v>1216</v>
      </c>
      <c r="C13" s="127" t="s">
        <v>1206</v>
      </c>
      <c r="D13" s="127" t="s">
        <v>1207</v>
      </c>
      <c r="E13" s="54"/>
      <c r="G13" s="120">
        <v>40</v>
      </c>
      <c r="H13" s="150">
        <v>4210</v>
      </c>
      <c r="I13" s="121" t="s">
        <v>1153</v>
      </c>
      <c r="J13" s="132" t="s">
        <v>1223</v>
      </c>
    </row>
    <row r="14" spans="1:29">
      <c r="A14" s="54">
        <v>14</v>
      </c>
      <c r="B14" s="121" t="s">
        <v>1214</v>
      </c>
      <c r="C14" s="130" t="s">
        <v>1203</v>
      </c>
      <c r="D14" s="128" t="s">
        <v>1215</v>
      </c>
      <c r="E14" s="133" t="s">
        <v>1223</v>
      </c>
      <c r="G14" s="120">
        <v>44</v>
      </c>
      <c r="H14" s="150">
        <v>4631</v>
      </c>
      <c r="I14" s="121" t="s">
        <v>1153</v>
      </c>
      <c r="J14" s="132" t="s">
        <v>1223</v>
      </c>
    </row>
    <row r="15" spans="1:29">
      <c r="A15" s="54">
        <v>6</v>
      </c>
      <c r="B15" s="121" t="s">
        <v>1200</v>
      </c>
      <c r="C15" s="129" t="s">
        <v>1192</v>
      </c>
      <c r="D15" s="126" t="s">
        <v>1193</v>
      </c>
      <c r="E15" s="134" t="s">
        <v>1224</v>
      </c>
      <c r="G15" s="120">
        <v>48</v>
      </c>
      <c r="H15" s="150">
        <v>5052</v>
      </c>
      <c r="I15" s="121" t="s">
        <v>1153</v>
      </c>
      <c r="J15" s="132" t="s">
        <v>1223</v>
      </c>
    </row>
    <row r="16" spans="1:29">
      <c r="A16" s="54">
        <v>9</v>
      </c>
      <c r="B16" s="121" t="s">
        <v>1205</v>
      </c>
      <c r="C16" s="128" t="s">
        <v>1206</v>
      </c>
      <c r="D16" s="128" t="s">
        <v>1207</v>
      </c>
      <c r="E16" s="54"/>
      <c r="G16" s="120">
        <v>4</v>
      </c>
      <c r="H16" s="150">
        <v>160</v>
      </c>
      <c r="I16" s="121" t="s">
        <v>1154</v>
      </c>
      <c r="J16" s="132" t="s">
        <v>1223</v>
      </c>
    </row>
    <row r="17" spans="1:10">
      <c r="A17" s="54">
        <v>10</v>
      </c>
      <c r="B17" s="121" t="s">
        <v>1208</v>
      </c>
      <c r="C17" s="128" t="s">
        <v>1209</v>
      </c>
      <c r="D17" s="128" t="s">
        <v>1210</v>
      </c>
      <c r="E17" s="54"/>
      <c r="G17" s="120">
        <v>8</v>
      </c>
      <c r="H17" s="150">
        <v>310</v>
      </c>
      <c r="I17" s="121" t="s">
        <v>1154</v>
      </c>
      <c r="J17" s="132" t="s">
        <v>1223</v>
      </c>
    </row>
    <row r="18" spans="1:10">
      <c r="A18" s="54">
        <v>8</v>
      </c>
      <c r="B18" s="121" t="s">
        <v>1204</v>
      </c>
      <c r="C18" s="129" t="s">
        <v>1198</v>
      </c>
      <c r="D18" s="126" t="s">
        <v>1202</v>
      </c>
      <c r="E18" s="54"/>
      <c r="G18" s="120">
        <v>12</v>
      </c>
      <c r="H18" s="150">
        <v>430</v>
      </c>
      <c r="I18" s="121" t="s">
        <v>1154</v>
      </c>
      <c r="J18" s="132" t="s">
        <v>1223</v>
      </c>
    </row>
    <row r="19" spans="1:10">
      <c r="A19" s="54">
        <v>7</v>
      </c>
      <c r="B19" s="121" t="s">
        <v>1201</v>
      </c>
      <c r="C19" s="129" t="s">
        <v>1202</v>
      </c>
      <c r="D19" s="126" t="s">
        <v>1203</v>
      </c>
      <c r="E19" s="133" t="s">
        <v>1223</v>
      </c>
      <c r="G19" s="120">
        <v>16</v>
      </c>
      <c r="H19" s="150">
        <v>570</v>
      </c>
      <c r="I19" s="121" t="s">
        <v>1154</v>
      </c>
      <c r="J19" s="132" t="s">
        <v>1223</v>
      </c>
    </row>
    <row r="20" spans="1:10">
      <c r="A20" s="54">
        <v>5</v>
      </c>
      <c r="B20" s="121" t="s">
        <v>1199</v>
      </c>
      <c r="C20" s="128" t="s">
        <v>1197</v>
      </c>
      <c r="D20" s="126" t="s">
        <v>1198</v>
      </c>
      <c r="E20" s="134" t="s">
        <v>1224</v>
      </c>
      <c r="G20" s="120">
        <v>20</v>
      </c>
      <c r="H20" s="150">
        <v>710</v>
      </c>
      <c r="I20" s="121" t="s">
        <v>1154</v>
      </c>
      <c r="J20" s="132" t="s">
        <v>1223</v>
      </c>
    </row>
    <row r="21" spans="1:10">
      <c r="A21" s="54">
        <v>2</v>
      </c>
      <c r="B21" s="121" t="s">
        <v>1194</v>
      </c>
      <c r="C21" s="125" t="s">
        <v>1192</v>
      </c>
      <c r="D21" s="126" t="s">
        <v>1193</v>
      </c>
      <c r="E21" s="133" t="s">
        <v>1223</v>
      </c>
      <c r="G21" s="120">
        <v>24</v>
      </c>
      <c r="H21" s="150">
        <v>850</v>
      </c>
      <c r="I21" s="121" t="s">
        <v>1154</v>
      </c>
      <c r="J21" s="132" t="s">
        <v>1223</v>
      </c>
    </row>
    <row r="22" spans="1:10">
      <c r="A22" s="54">
        <v>4</v>
      </c>
      <c r="B22" s="121" t="s">
        <v>1196</v>
      </c>
      <c r="C22" s="127" t="s">
        <v>1197</v>
      </c>
      <c r="D22" s="127" t="s">
        <v>1198</v>
      </c>
      <c r="E22" s="134" t="s">
        <v>1224</v>
      </c>
      <c r="G22" s="120">
        <v>28</v>
      </c>
      <c r="H22" s="150">
        <v>990</v>
      </c>
      <c r="I22" s="121" t="s">
        <v>1154</v>
      </c>
      <c r="J22" s="132" t="s">
        <v>1223</v>
      </c>
    </row>
    <row r="23" spans="1:10">
      <c r="A23" s="54">
        <v>3</v>
      </c>
      <c r="B23" s="121" t="s">
        <v>1195</v>
      </c>
      <c r="C23" s="126" t="s">
        <v>1192</v>
      </c>
      <c r="D23" s="126" t="s">
        <v>1193</v>
      </c>
      <c r="E23" s="133" t="s">
        <v>1223</v>
      </c>
      <c r="G23" s="120">
        <v>32</v>
      </c>
      <c r="H23" s="150">
        <v>1130</v>
      </c>
      <c r="I23" s="121" t="s">
        <v>1154</v>
      </c>
      <c r="J23" s="132" t="s">
        <v>1223</v>
      </c>
    </row>
    <row r="24" spans="1:10">
      <c r="G24" s="120">
        <v>36</v>
      </c>
      <c r="H24" s="150">
        <v>1270</v>
      </c>
      <c r="I24" s="121" t="s">
        <v>1154</v>
      </c>
      <c r="J24" s="132" t="s">
        <v>1223</v>
      </c>
    </row>
    <row r="25" spans="1:10">
      <c r="G25" s="120">
        <v>40</v>
      </c>
      <c r="H25" s="150">
        <v>1410</v>
      </c>
      <c r="I25" s="121" t="s">
        <v>1154</v>
      </c>
      <c r="J25" s="132" t="s">
        <v>1223</v>
      </c>
    </row>
    <row r="26" spans="1:10">
      <c r="G26" s="120">
        <v>44</v>
      </c>
      <c r="H26" s="150">
        <v>1551</v>
      </c>
      <c r="I26" s="121" t="s">
        <v>1154</v>
      </c>
      <c r="J26" s="132" t="s">
        <v>1223</v>
      </c>
    </row>
    <row r="27" spans="1:10">
      <c r="G27" s="120">
        <v>48</v>
      </c>
      <c r="H27" s="150">
        <v>1692</v>
      </c>
      <c r="I27" s="121" t="s">
        <v>1154</v>
      </c>
      <c r="J27" s="132" t="s">
        <v>1223</v>
      </c>
    </row>
    <row r="28" spans="1:10">
      <c r="G28" s="120">
        <v>4</v>
      </c>
      <c r="H28" s="150">
        <v>210</v>
      </c>
      <c r="I28" s="121" t="s">
        <v>1155</v>
      </c>
      <c r="J28" s="132" t="s">
        <v>1223</v>
      </c>
    </row>
    <row r="29" spans="1:10">
      <c r="G29" s="120">
        <v>8</v>
      </c>
      <c r="H29" s="150">
        <v>370</v>
      </c>
      <c r="I29" s="121" t="s">
        <v>1155</v>
      </c>
      <c r="J29" s="132" t="s">
        <v>1223</v>
      </c>
    </row>
    <row r="30" spans="1:10">
      <c r="G30" s="120">
        <v>12</v>
      </c>
      <c r="H30" s="150">
        <v>560</v>
      </c>
      <c r="I30" s="121" t="s">
        <v>1155</v>
      </c>
      <c r="J30" s="132" t="s">
        <v>1223</v>
      </c>
    </row>
    <row r="31" spans="1:10">
      <c r="G31" s="120">
        <v>16</v>
      </c>
      <c r="H31" s="150">
        <v>730</v>
      </c>
      <c r="I31" s="121" t="s">
        <v>1155</v>
      </c>
      <c r="J31" s="132" t="s">
        <v>1223</v>
      </c>
    </row>
    <row r="32" spans="1:10">
      <c r="G32" s="120">
        <v>20</v>
      </c>
      <c r="H32" s="150">
        <v>910</v>
      </c>
      <c r="I32" s="121" t="s">
        <v>1155</v>
      </c>
      <c r="J32" s="132" t="s">
        <v>1223</v>
      </c>
    </row>
    <row r="33" spans="7:10">
      <c r="G33" s="120">
        <v>24</v>
      </c>
      <c r="H33" s="150">
        <v>1110</v>
      </c>
      <c r="I33" s="121" t="s">
        <v>1155</v>
      </c>
      <c r="J33" s="132" t="s">
        <v>1223</v>
      </c>
    </row>
    <row r="34" spans="7:10">
      <c r="G34" s="120">
        <v>28</v>
      </c>
      <c r="H34" s="150">
        <v>1270</v>
      </c>
      <c r="I34" s="121" t="s">
        <v>1155</v>
      </c>
      <c r="J34" s="132" t="s">
        <v>1223</v>
      </c>
    </row>
    <row r="35" spans="7:10">
      <c r="G35" s="120">
        <v>32</v>
      </c>
      <c r="H35" s="150">
        <v>1461</v>
      </c>
      <c r="I35" s="121" t="s">
        <v>1155</v>
      </c>
      <c r="J35" s="132" t="s">
        <v>1223</v>
      </c>
    </row>
    <row r="36" spans="7:10">
      <c r="G36" s="120">
        <v>36</v>
      </c>
      <c r="H36" s="150">
        <v>1631</v>
      </c>
      <c r="I36" s="121" t="s">
        <v>1155</v>
      </c>
      <c r="J36" s="132" t="s">
        <v>1223</v>
      </c>
    </row>
    <row r="37" spans="7:10">
      <c r="G37" s="120">
        <v>40</v>
      </c>
      <c r="H37" s="150">
        <v>1810</v>
      </c>
      <c r="I37" s="121" t="s">
        <v>1155</v>
      </c>
      <c r="J37" s="132" t="s">
        <v>1223</v>
      </c>
    </row>
    <row r="38" spans="7:10">
      <c r="G38" s="120">
        <v>44</v>
      </c>
      <c r="H38" s="150">
        <v>2011</v>
      </c>
      <c r="I38" s="121" t="s">
        <v>1155</v>
      </c>
      <c r="J38" s="132" t="s">
        <v>1223</v>
      </c>
    </row>
    <row r="39" spans="7:10">
      <c r="G39" s="120">
        <v>48</v>
      </c>
      <c r="H39" s="150">
        <v>2210</v>
      </c>
      <c r="I39" s="121" t="s">
        <v>1155</v>
      </c>
      <c r="J39" s="132" t="s">
        <v>1223</v>
      </c>
    </row>
    <row r="40" spans="7:10">
      <c r="G40" s="122">
        <v>1</v>
      </c>
      <c r="H40" s="151">
        <v>40</v>
      </c>
      <c r="I40" s="123" t="s">
        <v>1153</v>
      </c>
      <c r="J40" s="134" t="s">
        <v>1224</v>
      </c>
    </row>
    <row r="41" spans="7:10">
      <c r="G41" s="122">
        <v>1</v>
      </c>
      <c r="H41" s="151">
        <v>35</v>
      </c>
      <c r="I41" s="123" t="s">
        <v>1154</v>
      </c>
      <c r="J41" s="134" t="s">
        <v>1224</v>
      </c>
    </row>
    <row r="42" spans="7:10">
      <c r="G42" s="122">
        <v>1</v>
      </c>
      <c r="H42" s="151">
        <v>50</v>
      </c>
      <c r="I42" s="123" t="s">
        <v>1155</v>
      </c>
      <c r="J42" s="134" t="s">
        <v>1224</v>
      </c>
    </row>
    <row r="43" spans="7:10">
      <c r="G43" s="122">
        <v>1</v>
      </c>
      <c r="H43" s="151">
        <v>150</v>
      </c>
      <c r="I43" s="124" t="s">
        <v>1258</v>
      </c>
      <c r="J43" s="134" t="s">
        <v>1224</v>
      </c>
    </row>
    <row r="44" spans="7:10">
      <c r="G44" s="122">
        <v>1</v>
      </c>
      <c r="H44" s="151">
        <v>180</v>
      </c>
      <c r="I44" s="124" t="s">
        <v>1259</v>
      </c>
      <c r="J44" s="134" t="s">
        <v>1224</v>
      </c>
    </row>
    <row r="45" spans="7:10">
      <c r="G45" s="122">
        <v>1</v>
      </c>
      <c r="H45" s="151">
        <v>800</v>
      </c>
      <c r="I45" s="124" t="s">
        <v>1260</v>
      </c>
      <c r="J45" s="134" t="s">
        <v>1224</v>
      </c>
    </row>
    <row r="46" spans="7:10">
      <c r="G46" s="122">
        <v>1</v>
      </c>
      <c r="H46" s="151">
        <v>200</v>
      </c>
      <c r="I46" s="124" t="s">
        <v>1261</v>
      </c>
      <c r="J46" s="134" t="s">
        <v>1224</v>
      </c>
    </row>
    <row r="47" spans="7:10">
      <c r="G47" s="122">
        <v>1</v>
      </c>
      <c r="H47" s="151">
        <v>1000</v>
      </c>
      <c r="I47" s="124" t="s">
        <v>1262</v>
      </c>
      <c r="J47" s="134" t="s">
        <v>1224</v>
      </c>
    </row>
    <row r="48" spans="7:10">
      <c r="G48" s="122">
        <v>1</v>
      </c>
      <c r="H48" s="151">
        <v>200</v>
      </c>
      <c r="I48" s="124" t="s">
        <v>1263</v>
      </c>
      <c r="J48" s="134" t="s">
        <v>1224</v>
      </c>
    </row>
    <row r="49" spans="7:10">
      <c r="G49" s="122">
        <v>1</v>
      </c>
      <c r="H49" s="151">
        <v>1000</v>
      </c>
      <c r="I49" s="124" t="s">
        <v>1264</v>
      </c>
      <c r="J49" s="134" t="s">
        <v>1224</v>
      </c>
    </row>
    <row r="50" spans="7:10">
      <c r="G50" s="122">
        <v>1</v>
      </c>
      <c r="H50" s="151">
        <v>13</v>
      </c>
      <c r="I50" s="124" t="s">
        <v>1265</v>
      </c>
      <c r="J50" s="134" t="s">
        <v>1224</v>
      </c>
    </row>
    <row r="51" spans="7:10">
      <c r="G51" s="122">
        <v>1</v>
      </c>
      <c r="H51" s="151">
        <v>18</v>
      </c>
      <c r="I51" s="124" t="s">
        <v>1266</v>
      </c>
      <c r="J51" s="134" t="s">
        <v>1224</v>
      </c>
    </row>
  </sheetData>
  <sortState ref="A4:E23">
    <sortCondition ref="B4:B23"/>
  </sortState>
  <mergeCells count="8">
    <mergeCell ref="X2:AC2"/>
    <mergeCell ref="M6:O6"/>
    <mergeCell ref="AB8:AC8"/>
    <mergeCell ref="G2:J2"/>
    <mergeCell ref="B2:D2"/>
    <mergeCell ref="L2:P2"/>
    <mergeCell ref="S1:U1"/>
    <mergeCell ref="S2:U2"/>
  </mergeCells>
  <pageMargins left="0.51181102362204722" right="0.51181102362204722" top="0.78740157480314965" bottom="0.78740157480314965" header="0.31496062992125984" footer="0.31496062992125984"/>
  <pageSetup paperSize="9" scale="64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4">
    <pageSetUpPr fitToPage="1"/>
  </sheetPr>
  <dimension ref="B1:Q8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5"/>
  <cols>
    <col min="1" max="1" width="9.42578125" customWidth="1"/>
    <col min="2" max="4" width="19" customWidth="1"/>
    <col min="5" max="5" width="23.5703125" bestFit="1" customWidth="1"/>
    <col min="6" max="6" width="19" customWidth="1"/>
    <col min="8" max="8" width="33.5703125" customWidth="1"/>
    <col min="9" max="9" width="26.85546875" customWidth="1"/>
    <col min="10" max="10" width="32.42578125" bestFit="1" customWidth="1"/>
    <col min="14" max="14" width="14.85546875" bestFit="1" customWidth="1"/>
    <col min="16" max="16" width="9.5703125" bestFit="1" customWidth="1"/>
    <col min="17" max="17" width="13.28515625" bestFit="1" customWidth="1"/>
  </cols>
  <sheetData>
    <row r="1" spans="2:17">
      <c r="H1" s="254" t="s">
        <v>1233</v>
      </c>
      <c r="I1" s="254"/>
      <c r="J1" s="254"/>
    </row>
    <row r="2" spans="2:17" ht="21">
      <c r="B2" s="199" t="s">
        <v>1231</v>
      </c>
      <c r="C2" s="199"/>
      <c r="D2" s="199"/>
      <c r="E2" s="199"/>
      <c r="F2" s="199"/>
      <c r="H2" s="254" t="s">
        <v>1234</v>
      </c>
      <c r="I2" s="254"/>
      <c r="J2" s="254"/>
      <c r="L2" s="255" t="s">
        <v>1247</v>
      </c>
      <c r="M2" s="256"/>
      <c r="N2" s="256"/>
      <c r="O2" s="256"/>
      <c r="P2" s="256"/>
      <c r="Q2" s="257"/>
    </row>
    <row r="3" spans="2:17" ht="15.75">
      <c r="B3" s="15" t="s">
        <v>1230</v>
      </c>
      <c r="C3" s="15" t="s">
        <v>1232</v>
      </c>
      <c r="D3" s="15" t="s">
        <v>1254</v>
      </c>
      <c r="E3" s="15" t="s">
        <v>1256</v>
      </c>
      <c r="F3" s="15" t="s">
        <v>1229</v>
      </c>
      <c r="H3" s="136" t="s">
        <v>1235</v>
      </c>
      <c r="I3" s="136" t="s">
        <v>1236</v>
      </c>
      <c r="J3" s="136" t="s">
        <v>1237</v>
      </c>
      <c r="L3" s="54" t="s">
        <v>1250</v>
      </c>
      <c r="M3" s="141" t="s">
        <v>1253</v>
      </c>
      <c r="N3" s="54" t="s">
        <v>1251</v>
      </c>
      <c r="O3" s="54" t="s">
        <v>1248</v>
      </c>
      <c r="P3" s="54" t="s">
        <v>1249</v>
      </c>
      <c r="Q3" s="54" t="s">
        <v>1252</v>
      </c>
    </row>
    <row r="4" spans="2:17">
      <c r="B4" s="54" t="s">
        <v>1255</v>
      </c>
      <c r="C4" s="135">
        <v>3500</v>
      </c>
      <c r="D4" s="144">
        <f>(C4-E4)/(1-F4)</f>
        <v>3738.116129032258</v>
      </c>
      <c r="E4" s="145">
        <v>602.96</v>
      </c>
      <c r="F4" s="146">
        <v>0.22500000000000001</v>
      </c>
      <c r="H4" s="137" t="s">
        <v>1238</v>
      </c>
      <c r="I4" s="138" t="s">
        <v>1239</v>
      </c>
      <c r="J4" s="138" t="s">
        <v>1239</v>
      </c>
      <c r="L4" s="54">
        <v>1000</v>
      </c>
      <c r="M4" s="141">
        <v>5786</v>
      </c>
      <c r="N4" s="143">
        <f>(M4+(360*4))/L4</f>
        <v>7.226</v>
      </c>
      <c r="O4" s="135">
        <v>1.85</v>
      </c>
      <c r="P4" s="142">
        <f>O4*N4</f>
        <v>13.3681</v>
      </c>
      <c r="Q4" s="142">
        <f>P4*L4</f>
        <v>13368.1</v>
      </c>
    </row>
    <row r="5" spans="2:17">
      <c r="B5" s="54" t="s">
        <v>1257</v>
      </c>
      <c r="C5" s="135">
        <v>2000</v>
      </c>
      <c r="D5" s="144">
        <f>(C5-E5)/(1-F5)</f>
        <v>1799.9675675675676</v>
      </c>
      <c r="E5" s="145">
        <v>335.03</v>
      </c>
      <c r="F5" s="146">
        <v>7.4999999999999997E-2</v>
      </c>
      <c r="H5" s="137" t="s">
        <v>1240</v>
      </c>
      <c r="I5" s="138" t="s">
        <v>1241</v>
      </c>
      <c r="J5" s="139">
        <v>134.08000000000001</v>
      </c>
      <c r="L5" s="54">
        <v>2000</v>
      </c>
      <c r="M5" s="141">
        <v>10307</v>
      </c>
      <c r="N5" s="143">
        <f>(M5+(360*4))/L5</f>
        <v>5.8734999999999999</v>
      </c>
      <c r="O5" s="135">
        <v>1.85</v>
      </c>
      <c r="P5" s="142">
        <f>O5*N5</f>
        <v>10.865975000000001</v>
      </c>
      <c r="Q5" s="142">
        <f>P5*L5</f>
        <v>21731.95</v>
      </c>
    </row>
    <row r="6" spans="2:17">
      <c r="D6" s="258" t="s">
        <v>1267</v>
      </c>
      <c r="E6" s="258"/>
      <c r="F6" s="258"/>
      <c r="H6" s="137" t="s">
        <v>1242</v>
      </c>
      <c r="I6" s="140">
        <v>15</v>
      </c>
      <c r="J6" s="138">
        <v>335.03</v>
      </c>
      <c r="L6" s="54">
        <v>3000</v>
      </c>
      <c r="M6" s="141">
        <v>13638</v>
      </c>
      <c r="N6" s="143">
        <f>(M6+(360*4))/L6</f>
        <v>5.0259999999999998</v>
      </c>
      <c r="O6" s="135">
        <v>1.85</v>
      </c>
      <c r="P6" s="142">
        <f>O6*N6</f>
        <v>9.2980999999999998</v>
      </c>
      <c r="Q6" s="142">
        <f>P6*L6</f>
        <v>27894.3</v>
      </c>
    </row>
    <row r="7" spans="2:17">
      <c r="H7" s="137" t="s">
        <v>1243</v>
      </c>
      <c r="I7" s="138" t="s">
        <v>1244</v>
      </c>
      <c r="J7" s="138">
        <v>602.96</v>
      </c>
      <c r="L7" s="54">
        <v>5000</v>
      </c>
      <c r="M7" s="141">
        <v>20382</v>
      </c>
      <c r="N7" s="143">
        <f>(M7+(360*4))/L7</f>
        <v>4.3643999999999998</v>
      </c>
      <c r="O7" s="135">
        <v>1.85</v>
      </c>
      <c r="P7" s="142">
        <f>O7*N7</f>
        <v>8.0741399999999999</v>
      </c>
      <c r="Q7" s="142">
        <f>P7*L7</f>
        <v>40370.699999999997</v>
      </c>
    </row>
    <row r="8" spans="2:17">
      <c r="H8" s="137" t="s">
        <v>1245</v>
      </c>
      <c r="I8" s="138" t="s">
        <v>1246</v>
      </c>
      <c r="J8" s="138">
        <v>826.15</v>
      </c>
      <c r="N8" s="147" t="s">
        <v>1267</v>
      </c>
      <c r="P8" s="258" t="s">
        <v>1267</v>
      </c>
      <c r="Q8" s="258"/>
    </row>
  </sheetData>
  <mergeCells count="6">
    <mergeCell ref="D6:F6"/>
    <mergeCell ref="P8:Q8"/>
    <mergeCell ref="H1:J1"/>
    <mergeCell ref="B2:F2"/>
    <mergeCell ref="H2:J2"/>
    <mergeCell ref="L2:Q2"/>
  </mergeCells>
  <pageMargins left="0.51181102362204722" right="0.51181102362204722" top="0.78740157480314965" bottom="0.78740157480314965" header="0.31496062992125984" footer="0.31496062992125984"/>
  <pageSetup paperSize="9" scale="64" orientation="landscape" r:id="rId1"/>
</worksheet>
</file>

<file path=customUI/customUI.xml><?xml version="1.0" encoding="utf-8"?>
<customUI xmlns="http://schemas.microsoft.com/office/2006/01/customui">
  <ribbon startFromScratch="false">
    <tabs>
      <tab id="CT1" label="SPRINGER">
        <group id="Grp1" label="Pesquisar">
          <button id="Btn100" label="Pesquisar Orçamentos" size="large" onAction="Pesquisar" imageMso="ZoomDialog"/>
        </group>
        <group id="Grp2" label="Orçamento">
          <button id="Btn200" label="Cadastro" size="large" onAction="Cadastro" imageMso="SmartArtAddShape"/>
          <button id="Btn201" label="Anexos" size="large" onAction="AnexosArquivos" imageMso="ExchangeFolder"/>
          <button id="Btn202" label="Indices de Calculos" size="large" onAction="Indices" imageMso="TableInsertExcel"/>
        </group>
        <group id="Grp3" label="Sincronismo">
          <button id="Btn301" label="Enviar/Receber" size="large" onAction="EnviarReceber" imageMso="Refresh"/>
          <button id="Btn302" label="Enviar dados" size="large" onAction="EnviarDados" imageMso="ObjectNudgeUp"/>
          <button id="Btn303" label="Receber dados" size="large" onAction="ReceberDados" imageMso="ObjectNudgeDown"/>
        </group>
        <group id="Grp4" label="Projetos">
          <button id="Btn400" label="Projeto 01" size="large" onAction="Projeto01" imageMso="ReviewNewComment"/>
          <button id="Btn401" label="Projeto 02" size="large" onAction="Projeto02" imageMso="ReviewNewComment"/>
          <button id="Btn402" label="Projeto 03" size="large" onAction="Projeto03" imageMso="ReviewNewComment"/>
          <button id="Btn403" label="Projeto 04" size="large" onAction="Projeto04" imageMso="ReviewNewComment"/>
          <button id="Btn404" label="Projeto 05" size="large" onAction="Projeto05" imageMso="ReviewNewComment"/>
          <button id="Btn405" label="Projeto 06" size="large" onAction="Projeto06" imageMso="ReviewNewComment"/>
          <button id="Btn406" label="Projeto 07" size="large" onAction="Projeto07" imageMso="ReviewNewComment"/>
          <button id="Btn407" label="Projeto 08" size="large" onAction="Projeto08" imageMso="ReviewNewComment"/>
          <!--
					<button id="Btn408" label="Grand" size="large" onAction="ControleGrand" imageMso="TableInsertExcel"/>
					<button id="Btn409" label="Simulador de Custos" size="large" onAction="SimuladorCustos" imageMso="CalculateNow"/>
					<button id="Btn410" label="Gerar Proposta" size="large" onAction="GerarProposta" imageMso="SmartArtAddBullet"/>
-->
        </group>
        <!-- COMENTARIO 
				<group id="Grp6" label="adm">
					<button id="Btn600" label="Desbloqueio" size="large" onAction="Desbloqueio" imageMso="Lock"/>
					<button id="Btn601" label="Administração" size="large" onAction="Administracao" imageMso="PropertySheet"/>
				</group>
-->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182</vt:i4>
      </vt:variant>
    </vt:vector>
  </HeadingPairs>
  <TitlesOfParts>
    <vt:vector size="185" baseType="lpstr">
      <vt:lpstr>JOSEFINA DA SILVA</vt:lpstr>
      <vt:lpstr>CUSTOS DE PRODUÇÃO</vt:lpstr>
      <vt:lpstr>CALCULO DE GRANT</vt:lpstr>
      <vt:lpstr>'CUSTOS DE PRODUÇÃO'!Area_de_impressao</vt:lpstr>
      <vt:lpstr>'JOSEFINA DA SILVA'!Area_de_impressao</vt:lpstr>
      <vt:lpstr>ARREDONDAMENT0_01</vt:lpstr>
      <vt:lpstr>ARREDONDAMENT0_02</vt:lpstr>
      <vt:lpstr>ARREDONDAMENT0_03</vt:lpstr>
      <vt:lpstr>ARREDONDAMENT0_04</vt:lpstr>
      <vt:lpstr>ARREDONDAMENT0_05</vt:lpstr>
      <vt:lpstr>ARREDONDAMENT0_06</vt:lpstr>
      <vt:lpstr>ARREDONDAMENT0_07</vt:lpstr>
      <vt:lpstr>ARREDONDAMENT0_08</vt:lpstr>
      <vt:lpstr>Caracteristicas</vt:lpstr>
      <vt:lpstr>DescontoComprasMKT_01</vt:lpstr>
      <vt:lpstr>DescontoComprasMKT_02</vt:lpstr>
      <vt:lpstr>DescontoComprasMKT_03</vt:lpstr>
      <vt:lpstr>DescontoComprasMKT_04</vt:lpstr>
      <vt:lpstr>DescontoComprasMKT_05</vt:lpstr>
      <vt:lpstr>DescontoComprasMKT_06</vt:lpstr>
      <vt:lpstr>DescontoComprasMKT_07</vt:lpstr>
      <vt:lpstr>DescontoComprasMKT_08</vt:lpstr>
      <vt:lpstr>DescontoPadrao_01</vt:lpstr>
      <vt:lpstr>DescontoPadrao_02</vt:lpstr>
      <vt:lpstr>DescontoPadrao_03</vt:lpstr>
      <vt:lpstr>DescontoPadrao_04</vt:lpstr>
      <vt:lpstr>DescontoPadrao_05</vt:lpstr>
      <vt:lpstr>DescontoPadrao_06</vt:lpstr>
      <vt:lpstr>DescontoPadrao_07</vt:lpstr>
      <vt:lpstr>DescontoPadrao_08</vt:lpstr>
      <vt:lpstr>FASCICULOS_01</vt:lpstr>
      <vt:lpstr>FASCICULOS_02</vt:lpstr>
      <vt:lpstr>FASCICULOS_03</vt:lpstr>
      <vt:lpstr>FASCICULOS_04</vt:lpstr>
      <vt:lpstr>FASCICULOS_05</vt:lpstr>
      <vt:lpstr>FASCICULOS_06</vt:lpstr>
      <vt:lpstr>FASCICULOS_07</vt:lpstr>
      <vt:lpstr>FASCICULOS_08</vt:lpstr>
      <vt:lpstr>LINHA_DE_PRODUTO_01</vt:lpstr>
      <vt:lpstr>LINHA_DE_PRODUTO_02</vt:lpstr>
      <vt:lpstr>LINHA_DE_PRODUTO_03</vt:lpstr>
      <vt:lpstr>LINHA_DE_PRODUTO_04</vt:lpstr>
      <vt:lpstr>LINHA_DE_PRODUTO_05</vt:lpstr>
      <vt:lpstr>LINHA_DE_PRODUTO_06</vt:lpstr>
      <vt:lpstr>LINHA_DE_PRODUTO_07</vt:lpstr>
      <vt:lpstr>LINHA_DE_PRODUTO_08</vt:lpstr>
      <vt:lpstr>MARGEM_MINIMA_01</vt:lpstr>
      <vt:lpstr>MARGEM_MINIMA_02</vt:lpstr>
      <vt:lpstr>MARGEM_MINIMA_03</vt:lpstr>
      <vt:lpstr>MARGEM_MINIMA_04</vt:lpstr>
      <vt:lpstr>MARGEM_MINIMA_05</vt:lpstr>
      <vt:lpstr>MARGEM_MINIMA_06</vt:lpstr>
      <vt:lpstr>MARGEM_MINIMA_07</vt:lpstr>
      <vt:lpstr>MARGEM_MINIMA_08</vt:lpstr>
      <vt:lpstr>MargemBrutaComprasMKT_01</vt:lpstr>
      <vt:lpstr>MargemBrutaComprasMKT_02</vt:lpstr>
      <vt:lpstr>MargemBrutaComprasMKT_03</vt:lpstr>
      <vt:lpstr>MargemBrutaComprasMKT_04</vt:lpstr>
      <vt:lpstr>MargemBrutaComprasMKT_05</vt:lpstr>
      <vt:lpstr>MargemBrutaComprasMKT_06</vt:lpstr>
      <vt:lpstr>MargemBrutaComprasMKT_07</vt:lpstr>
      <vt:lpstr>MargemBrutaComprasMKT_08</vt:lpstr>
      <vt:lpstr>MargemBrutaMKT_01</vt:lpstr>
      <vt:lpstr>MargemBrutaMKT_02</vt:lpstr>
      <vt:lpstr>MargemBrutaMKT_03</vt:lpstr>
      <vt:lpstr>MargemBrutaMKT_04</vt:lpstr>
      <vt:lpstr>MargemBrutaMKT_05</vt:lpstr>
      <vt:lpstr>MargemBrutaMKT_06</vt:lpstr>
      <vt:lpstr>MargemBrutaMKT_07</vt:lpstr>
      <vt:lpstr>MargemBrutaMKT_08</vt:lpstr>
      <vt:lpstr>MargemMinimaCompras_01</vt:lpstr>
      <vt:lpstr>MargemMinimaCompras_02</vt:lpstr>
      <vt:lpstr>MargemMinimaCompras_03</vt:lpstr>
      <vt:lpstr>MargemMinimaCompras_04</vt:lpstr>
      <vt:lpstr>MargemMinimaCompras_05</vt:lpstr>
      <vt:lpstr>MargemMinimaCompras_06</vt:lpstr>
      <vt:lpstr>MargemMinimaCompras_07</vt:lpstr>
      <vt:lpstr>MargemMinimaCompras_08</vt:lpstr>
      <vt:lpstr>MargemMKT_01</vt:lpstr>
      <vt:lpstr>MargemMKT_02</vt:lpstr>
      <vt:lpstr>MargemMKT_03</vt:lpstr>
      <vt:lpstr>MargemMKT_04</vt:lpstr>
      <vt:lpstr>MargemMKT_05</vt:lpstr>
      <vt:lpstr>MargemMKT_06</vt:lpstr>
      <vt:lpstr>MargemMKT_07</vt:lpstr>
      <vt:lpstr>MargemMKT_08</vt:lpstr>
      <vt:lpstr>Moeda_01</vt:lpstr>
      <vt:lpstr>Moeda_02</vt:lpstr>
      <vt:lpstr>Moeda_03</vt:lpstr>
      <vt:lpstr>Moeda_04</vt:lpstr>
      <vt:lpstr>Moeda_05</vt:lpstr>
      <vt:lpstr>Moeda_06</vt:lpstr>
      <vt:lpstr>Moeda_07</vt:lpstr>
      <vt:lpstr>Moeda_08</vt:lpstr>
      <vt:lpstr>PRECO_VENDA_GROSS_01</vt:lpstr>
      <vt:lpstr>PRECO_VENDA_GROSS_02</vt:lpstr>
      <vt:lpstr>PRECO_VENDA_GROSS_03</vt:lpstr>
      <vt:lpstr>PRECO_VENDA_GROSS_04</vt:lpstr>
      <vt:lpstr>PRECO_VENDA_GROSS_05</vt:lpstr>
      <vt:lpstr>PRECO_VENDA_GROSS_06</vt:lpstr>
      <vt:lpstr>PRECO_VENDA_GROSS_07</vt:lpstr>
      <vt:lpstr>PRECO_VENDA_GROSS_08</vt:lpstr>
      <vt:lpstr>PrecoDeCompras_01</vt:lpstr>
      <vt:lpstr>PrecoDeCompras_02</vt:lpstr>
      <vt:lpstr>PrecoDeCompras_03</vt:lpstr>
      <vt:lpstr>PrecoDeCompras_04</vt:lpstr>
      <vt:lpstr>PrecoDeCompras_05</vt:lpstr>
      <vt:lpstr>PrecoDeCompras_06</vt:lpstr>
      <vt:lpstr>PrecoDeCompras_07</vt:lpstr>
      <vt:lpstr>PrecoDeCompras_08</vt:lpstr>
      <vt:lpstr>PrecoMKT_01</vt:lpstr>
      <vt:lpstr>PrecoMKT_02</vt:lpstr>
      <vt:lpstr>PrecoMKT_03</vt:lpstr>
      <vt:lpstr>PrecoMKT_04</vt:lpstr>
      <vt:lpstr>PrecoMKT_05</vt:lpstr>
      <vt:lpstr>PrecoMKT_06</vt:lpstr>
      <vt:lpstr>PrecoMKT_07</vt:lpstr>
      <vt:lpstr>PrecoMKT_08</vt:lpstr>
      <vt:lpstr>PrecoTotal_01</vt:lpstr>
      <vt:lpstr>PrecoTotal_02</vt:lpstr>
      <vt:lpstr>PrecoTotal_03</vt:lpstr>
      <vt:lpstr>PrecoTotal_04</vt:lpstr>
      <vt:lpstr>PrecoTotal_05</vt:lpstr>
      <vt:lpstr>PrecoTotal_06</vt:lpstr>
      <vt:lpstr>PrecoTotal_07</vt:lpstr>
      <vt:lpstr>PrecoTotal_08</vt:lpstr>
      <vt:lpstr>PrecoTotalMKT_01</vt:lpstr>
      <vt:lpstr>PrecoTotalMKT_02</vt:lpstr>
      <vt:lpstr>PrecoTotalMKT_03</vt:lpstr>
      <vt:lpstr>PrecoTotalMKT_04</vt:lpstr>
      <vt:lpstr>PrecoTotalMKT_05</vt:lpstr>
      <vt:lpstr>PrecoTotalMKT_06</vt:lpstr>
      <vt:lpstr>PrecoTotalMKT_07</vt:lpstr>
      <vt:lpstr>PrecoTotalMKT_08</vt:lpstr>
      <vt:lpstr>PRODUTO</vt:lpstr>
      <vt:lpstr>Projetos</vt:lpstr>
      <vt:lpstr>ROYALTY_ESPECIE_01</vt:lpstr>
      <vt:lpstr>ROYALTY_ESPECIE_02</vt:lpstr>
      <vt:lpstr>ROYALTY_ESPECIE_03</vt:lpstr>
      <vt:lpstr>ROYALTY_ESPECIE_04</vt:lpstr>
      <vt:lpstr>ROYALTY_ESPECIE_05</vt:lpstr>
      <vt:lpstr>ROYALTY_ESPECIE_06</vt:lpstr>
      <vt:lpstr>ROYALTY_ESPECIE_07</vt:lpstr>
      <vt:lpstr>ROYALTY_ESPECIE_08</vt:lpstr>
      <vt:lpstr>ROYALTY_PERCENTUAL_01</vt:lpstr>
      <vt:lpstr>ROYALTY_PERCENTUAL_02</vt:lpstr>
      <vt:lpstr>ROYALTY_PERCENTUAL_03</vt:lpstr>
      <vt:lpstr>ROYALTY_PERCENTUAL_04</vt:lpstr>
      <vt:lpstr>ROYALTY_PERCENTUAL_05</vt:lpstr>
      <vt:lpstr>ROYALTY_PERCENTUAL_06</vt:lpstr>
      <vt:lpstr>ROYALTY_PERCENTUAL_07</vt:lpstr>
      <vt:lpstr>ROYALTY_PERCENTUAL_08</vt:lpstr>
      <vt:lpstr>SERVICO</vt:lpstr>
      <vt:lpstr>SomaCustos_01</vt:lpstr>
      <vt:lpstr>SomaCustos_02</vt:lpstr>
      <vt:lpstr>SomaCustos_03</vt:lpstr>
      <vt:lpstr>SomaCustos_04</vt:lpstr>
      <vt:lpstr>SomaCustos_05</vt:lpstr>
      <vt:lpstr>SomaCustos_06</vt:lpstr>
      <vt:lpstr>SomaCustos_07</vt:lpstr>
      <vt:lpstr>SomaCustos_08</vt:lpstr>
      <vt:lpstr>TIRAGEM_01</vt:lpstr>
      <vt:lpstr>TIRAGEM_02</vt:lpstr>
      <vt:lpstr>TIRAGEM_03</vt:lpstr>
      <vt:lpstr>TIRAGEM_04</vt:lpstr>
      <vt:lpstr>TIRAGEM_05</vt:lpstr>
      <vt:lpstr>TIRAGEM_06</vt:lpstr>
      <vt:lpstr>TIRAGEM_07</vt:lpstr>
      <vt:lpstr>TIRAGEM_08</vt:lpstr>
      <vt:lpstr>ValorUnitarioCompras_01</vt:lpstr>
      <vt:lpstr>ValorUnitarioCompras_02</vt:lpstr>
      <vt:lpstr>ValorUnitarioCompras_03</vt:lpstr>
      <vt:lpstr>ValorUnitarioCompras_04</vt:lpstr>
      <vt:lpstr>ValorUnitarioCompras_05</vt:lpstr>
      <vt:lpstr>ValorUnitarioCompras_06</vt:lpstr>
      <vt:lpstr>ValorUnitarioCompras_07</vt:lpstr>
      <vt:lpstr>ValorUnitarioCompras_08</vt:lpstr>
      <vt:lpstr>ValorUnitarioMKT_01</vt:lpstr>
      <vt:lpstr>ValorUnitarioMKT_02</vt:lpstr>
      <vt:lpstr>ValorUnitarioMKT_03</vt:lpstr>
      <vt:lpstr>ValorUnitarioMKT_04</vt:lpstr>
      <vt:lpstr>ValorUnitarioMKT_05</vt:lpstr>
      <vt:lpstr>ValorUnitarioMKT_06</vt:lpstr>
      <vt:lpstr>ValorUnitarioMKT_07</vt:lpstr>
      <vt:lpstr>ValorUnitarioMKT_08</vt:lpstr>
    </vt:vector>
  </TitlesOfParts>
  <Company>Rtm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</dc:creator>
  <cp:lastModifiedBy>AILTON</cp:lastModifiedBy>
  <cp:lastPrinted>2015-03-13T14:47:47Z</cp:lastPrinted>
  <dcterms:created xsi:type="dcterms:W3CDTF">2011-03-16T19:58:59Z</dcterms:created>
  <dcterms:modified xsi:type="dcterms:W3CDTF">2015-04-12T21:06:48Z</dcterms:modified>
</cp:coreProperties>
</file>