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PATRICIA MIRRA" sheetId="25" r:id="rId1"/>
    <sheet name="APOIO" sheetId="19" state="veryHidden" r:id="rId2"/>
    <sheet name="BANCOS" sheetId="22" state="veryHidden" r:id="rId3"/>
    <sheet name="CUSTOS DE PRODUÇÃO" sheetId="26" state="veryHidden" r:id="rId4"/>
    <sheet name="CALCULO DE GRANT" sheetId="27" state="veryHidden" r:id="rId5"/>
  </sheets>
  <functionGroups/>
  <definedNames>
    <definedName name="_xlnm._FilterDatabase" localSheetId="0" hidden="1">'PATRICIA MIRRA'!#REF!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'PATRICIA MIRRA'!$B$1:$J$86</definedName>
    <definedName name="ARREDONDAMENT0_01">'PATRICIA MIRRA'!$C$83</definedName>
    <definedName name="ARREDONDAMENT0_02">'PATRICIA MIRRA'!$D$83</definedName>
    <definedName name="ARREDONDAMENT0_03">'PATRICIA MIRRA'!$E$83</definedName>
    <definedName name="ARREDONDAMENT0_04">'PATRICIA MIRRA'!$F$83</definedName>
    <definedName name="ARREDONDAMENT0_05">'PATRICIA MIRRA'!$G$83</definedName>
    <definedName name="ARREDONDAMENT0_06">'PATRICIA MIRRA'!$H$83</definedName>
    <definedName name="ARREDONDAMENT0_07">'PATRICIA MIRRA'!$I$83</definedName>
    <definedName name="ARREDONDAMENT0_08">'PATRICIA MIRRA'!$J$83</definedName>
    <definedName name="Caracteristicas">'PATRICIA MIRRA'!$C$29:$J$29</definedName>
    <definedName name="CLIENTES">OFFSET(APOIO!$C$2,0,0,COUNTA(APOIO!$C:$C)-1,1)</definedName>
    <definedName name="DescontoComprasMKT_01">'PATRICIA MIRRA'!$C$76</definedName>
    <definedName name="DescontoComprasMKT_02">'PATRICIA MIRRA'!$D$76</definedName>
    <definedName name="DescontoComprasMKT_03">'PATRICIA MIRRA'!$E$76</definedName>
    <definedName name="DescontoComprasMKT_04">'PATRICIA MIRRA'!$F$76</definedName>
    <definedName name="DescontoComprasMKT_05">'PATRICIA MIRRA'!$G$76</definedName>
    <definedName name="DescontoComprasMKT_06">'PATRICIA MIRRA'!$H$76</definedName>
    <definedName name="DescontoComprasMKT_07">'PATRICIA MIRRA'!$I$76</definedName>
    <definedName name="DescontoComprasMKT_08">'PATRICIA MIRRA'!$J$76</definedName>
    <definedName name="DescontoPadrao_01">'PATRICIA MIRRA'!$C$71</definedName>
    <definedName name="DescontoPadrao_02">'PATRICIA MIRRA'!$D$71</definedName>
    <definedName name="DescontoPadrao_03">'PATRICIA MIRRA'!$E$71</definedName>
    <definedName name="DescontoPadrao_04">'PATRICIA MIRRA'!$F$71</definedName>
    <definedName name="DescontoPadrao_05">'PATRICIA MIRRA'!$G$71</definedName>
    <definedName name="DescontoPadrao_06">'PATRICIA MIRRA'!$H$71</definedName>
    <definedName name="DescontoPadrao_07">'PATRICIA MIRRA'!$I$71</definedName>
    <definedName name="DescontoPadrao_08">'PATRICIA MIRRA'!$J$71</definedName>
    <definedName name="DESCONTOS">OFFSET('PATRICIA MIRRA'!$W$3,0,0,COUNTA('PATRICIA MIRRA'!$W:$W)-2,1)</definedName>
    <definedName name="DRIVERS">OFFSET(BANCOS!$H$2,0,0,COUNTA(BANCOS!$H:$H)-1,1)</definedName>
    <definedName name="FASCICULOS_01">'PATRICIA MIRRA'!$C$14</definedName>
    <definedName name="FASCICULOS_02">'PATRICIA MIRRA'!$D$14</definedName>
    <definedName name="FASCICULOS_03">'PATRICIA MIRRA'!$E$14</definedName>
    <definedName name="FASCICULOS_04">'PATRICIA MIRRA'!$F$14</definedName>
    <definedName name="FASCICULOS_05">'PATRICIA MIRRA'!$G$14</definedName>
    <definedName name="FASCICULOS_06">'PATRICIA MIRRA'!$H$14</definedName>
    <definedName name="FASCICULOS_07">'PATRICIA MIRRA'!$I$14</definedName>
    <definedName name="FASCICULOS_08">'PATRICIA MIRRA'!$J$14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OFFSET('PATRICIA MIRRA'!$L$3,0,0,COUNTA('PATRICIA MIRRA'!$L:$L)-2,1)</definedName>
    <definedName name="LINHA_DE_PRODUTO_01">'PATRICIA MIRRA'!$C$13</definedName>
    <definedName name="LINHA_DE_PRODUTO_02">'PATRICIA MIRRA'!$D$13</definedName>
    <definedName name="LINHA_DE_PRODUTO_03">'PATRICIA MIRRA'!$E$13</definedName>
    <definedName name="LINHA_DE_PRODUTO_04">'PATRICIA MIRRA'!$F$13</definedName>
    <definedName name="LINHA_DE_PRODUTO_05">'PATRICIA MIRRA'!$G$13</definedName>
    <definedName name="LINHA_DE_PRODUTO_06">'PATRICIA MIRRA'!$H$13</definedName>
    <definedName name="LINHA_DE_PRODUTO_07">'PATRICIA MIRRA'!$I$13</definedName>
    <definedName name="LINHA_DE_PRODUTO_08">'PATRICIA MIRRA'!$J$13</definedName>
    <definedName name="MARGEM_MINIMA_01">'PATRICIA MIRRA'!$C$62</definedName>
    <definedName name="MARGEM_MINIMA_02">'PATRICIA MIRRA'!$D$62</definedName>
    <definedName name="MARGEM_MINIMA_03">'PATRICIA MIRRA'!$E$62</definedName>
    <definedName name="MARGEM_MINIMA_04">'PATRICIA MIRRA'!$F$62</definedName>
    <definedName name="MARGEM_MINIMA_05">'PATRICIA MIRRA'!$G$62</definedName>
    <definedName name="MARGEM_MINIMA_06">'PATRICIA MIRRA'!$H$62</definedName>
    <definedName name="MARGEM_MINIMA_07">'PATRICIA MIRRA'!$I$62</definedName>
    <definedName name="MARGEM_MINIMA_08">'PATRICIA MIRRA'!$J$62</definedName>
    <definedName name="MargemBrutaComprasMKT_01">'PATRICIA MIRRA'!$C$77</definedName>
    <definedName name="MargemBrutaComprasMKT_02">'PATRICIA MIRRA'!$D$77</definedName>
    <definedName name="MargemBrutaComprasMKT_03">'PATRICIA MIRRA'!$E$77</definedName>
    <definedName name="MargemBrutaComprasMKT_04">'PATRICIA MIRRA'!$F$77</definedName>
    <definedName name="MargemBrutaComprasMKT_05">'PATRICIA MIRRA'!$G$77</definedName>
    <definedName name="MargemBrutaComprasMKT_06">'PATRICIA MIRRA'!$H$77</definedName>
    <definedName name="MargemBrutaComprasMKT_07">'PATRICIA MIRRA'!$I$77</definedName>
    <definedName name="MargemBrutaComprasMKT_08">'PATRICIA MIRRA'!$J$77</definedName>
    <definedName name="MargemBrutaMKT_01">'PATRICIA MIRRA'!$C$69</definedName>
    <definedName name="MargemBrutaMKT_02">'PATRICIA MIRRA'!$D$69</definedName>
    <definedName name="MargemBrutaMKT_03">'PATRICIA MIRRA'!$E$69</definedName>
    <definedName name="MargemBrutaMKT_04">'PATRICIA MIRRA'!$F$69</definedName>
    <definedName name="MargemBrutaMKT_05">'PATRICIA MIRRA'!$G$69</definedName>
    <definedName name="MargemBrutaMKT_06">'PATRICIA MIRRA'!$H$69</definedName>
    <definedName name="MargemBrutaMKT_07">'PATRICIA MIRRA'!$I$69</definedName>
    <definedName name="MargemBrutaMKT_08">'PATRICIA MIRRA'!$J$69</definedName>
    <definedName name="MargemMinimaCompras_01">'PATRICIA MIRRA'!$C$74</definedName>
    <definedName name="MargemMinimaCompras_02">'PATRICIA MIRRA'!$D$74</definedName>
    <definedName name="MargemMinimaCompras_03">'PATRICIA MIRRA'!$E$74</definedName>
    <definedName name="MargemMinimaCompras_04">'PATRICIA MIRRA'!$F$74</definedName>
    <definedName name="MargemMinimaCompras_05">'PATRICIA MIRRA'!$G$74</definedName>
    <definedName name="MargemMinimaCompras_06">'PATRICIA MIRRA'!$H$74</definedName>
    <definedName name="MargemMinimaCompras_07">'PATRICIA MIRRA'!$I$74</definedName>
    <definedName name="MargemMinimaCompras_08">'PATRICIA MIRRA'!$J$74</definedName>
    <definedName name="MargemMKT_01">'PATRICIA MIRRA'!$C$68</definedName>
    <definedName name="MargemMKT_02">'PATRICIA MIRRA'!$D$68</definedName>
    <definedName name="MargemMKT_03">'PATRICIA MIRRA'!$E$68</definedName>
    <definedName name="MargemMKT_04">'PATRICIA MIRRA'!$F$68</definedName>
    <definedName name="MargemMKT_05">'PATRICIA MIRRA'!$G$68</definedName>
    <definedName name="MargemMKT_06">'PATRICIA MIRRA'!$H$68</definedName>
    <definedName name="MargemMKT_07">'PATRICIA MIRRA'!$I$68</definedName>
    <definedName name="MargemMKT_08">'PATRICIA MIRRA'!$J$68</definedName>
    <definedName name="MOEDA">OFFSET('PATRICIA MIRRA'!$P$3,0,0,COUNTA('PATRICIA MIRRA'!$P:$P)-2,1)</definedName>
    <definedName name="Moeda_01">'PATRICIA MIRRA'!$C$20</definedName>
    <definedName name="Moeda_02">'PATRICIA MIRRA'!$D$20</definedName>
    <definedName name="Moeda_03">'PATRICIA MIRRA'!$E$20</definedName>
    <definedName name="Moeda_04">'PATRICIA MIRRA'!$F$20</definedName>
    <definedName name="Moeda_05">'PATRICIA MIRRA'!$G$20</definedName>
    <definedName name="Moeda_06">'PATRICIA MIRRA'!$H$20</definedName>
    <definedName name="Moeda_07">'PATRICIA MIRRA'!$I$20</definedName>
    <definedName name="Moeda_08">'PATRICIA MIRRA'!$J$20</definedName>
    <definedName name="NPAGINAS">OFFSET(APOIO!$H$2,0,0,COUNTA(APOIO!$H:$H)-1,1)</definedName>
    <definedName name="PAPEL">OFFSET(APOIO!$G$2,0,0,COUNTA(APOIO!$G:$G)-1,1)</definedName>
    <definedName name="PRECO_VENDA_GROSS_01">'PATRICIA MIRRA'!$C$82</definedName>
    <definedName name="PRECO_VENDA_GROSS_02">'PATRICIA MIRRA'!$D$82</definedName>
    <definedName name="PRECO_VENDA_GROSS_03">'PATRICIA MIRRA'!$E$82</definedName>
    <definedName name="PRECO_VENDA_GROSS_04">'PATRICIA MIRRA'!$F$82</definedName>
    <definedName name="PRECO_VENDA_GROSS_05">'PATRICIA MIRRA'!$G$82</definedName>
    <definedName name="PRECO_VENDA_GROSS_06">'PATRICIA MIRRA'!$H$82</definedName>
    <definedName name="PRECO_VENDA_GROSS_07">'PATRICIA MIRRA'!$I$82</definedName>
    <definedName name="PRECO_VENDA_GROSS_08">'PATRICIA MIRRA'!$J$82</definedName>
    <definedName name="PrecoDeCompras_01">'PATRICIA MIRRA'!$C$72</definedName>
    <definedName name="PrecoDeCompras_02">'PATRICIA MIRRA'!$D$72</definedName>
    <definedName name="PrecoDeCompras_03">'PATRICIA MIRRA'!$E$72</definedName>
    <definedName name="PrecoDeCompras_04">'PATRICIA MIRRA'!$F$72</definedName>
    <definedName name="PrecoDeCompras_05">'PATRICIA MIRRA'!$G$72</definedName>
    <definedName name="PrecoDeCompras_06">'PATRICIA MIRRA'!$H$72</definedName>
    <definedName name="PrecoDeCompras_07">'PATRICIA MIRRA'!$I$72</definedName>
    <definedName name="PrecoDeCompras_08">'PATRICIA MIRRA'!$J$72</definedName>
    <definedName name="PrecoMKT_01">'PATRICIA MIRRA'!$C$65</definedName>
    <definedName name="PrecoMKT_02">'PATRICIA MIRRA'!$D$65</definedName>
    <definedName name="PrecoMKT_03">'PATRICIA MIRRA'!$E$65</definedName>
    <definedName name="PrecoMKT_04">'PATRICIA MIRRA'!$F$65</definedName>
    <definedName name="PrecoMKT_05">'PATRICIA MIRRA'!$G$65</definedName>
    <definedName name="PrecoMKT_06">'PATRICIA MIRRA'!$H$65</definedName>
    <definedName name="PrecoMKT_07">'PATRICIA MIRRA'!$I$65</definedName>
    <definedName name="PrecoMKT_08">'PATRICIA MIRRA'!$J$65</definedName>
    <definedName name="PrecoTotal_01">'PATRICIA MIRRA'!$C$73</definedName>
    <definedName name="PrecoTotal_02">'PATRICIA MIRRA'!$D$73</definedName>
    <definedName name="PrecoTotal_03">'PATRICIA MIRRA'!$E$73</definedName>
    <definedName name="PrecoTotal_04">'PATRICIA MIRRA'!$F$73</definedName>
    <definedName name="PrecoTotal_05">'PATRICIA MIRRA'!$G$73</definedName>
    <definedName name="PrecoTotal_06">'PATRICIA MIRRA'!$H$73</definedName>
    <definedName name="PrecoTotal_07">'PATRICIA MIRRA'!$I$73</definedName>
    <definedName name="PrecoTotal_08">'PATRICIA MIRRA'!$J$73</definedName>
    <definedName name="PrecoTotalMKT_01">'PATRICIA MIRRA'!$C$66</definedName>
    <definedName name="PrecoTotalMKT_02">'PATRICIA MIRRA'!$D$66</definedName>
    <definedName name="PrecoTotalMKT_03">'PATRICIA MIRRA'!$E$66</definedName>
    <definedName name="PrecoTotalMKT_04">'PATRICIA MIRRA'!$F$66</definedName>
    <definedName name="PrecoTotalMKT_05">'PATRICIA MIRRA'!$G$66</definedName>
    <definedName name="PrecoTotalMKT_06">'PATRICIA MIRRA'!$H$66</definedName>
    <definedName name="PrecoTotalMKT_07">'PATRICIA MIRRA'!$I$66</definedName>
    <definedName name="PrecoTotalMKT_08">'PATRICIA MIRRA'!$J$66</definedName>
    <definedName name="PRODUTO">'PATRICIA MIRRA'!$C$79</definedName>
    <definedName name="Projetos">'PATRICIA MIRRA'!$C$13:$J$23</definedName>
    <definedName name="PUBLISHER">OFFSET(APOIO!$B$2,0,0,COUNTA(APOIO!$B:$B)-1,1)</definedName>
    <definedName name="ROYALTY_ESPECIE_01">'PATRICIA MIRRA'!$C$22</definedName>
    <definedName name="ROYALTY_ESPECIE_02">'PATRICIA MIRRA'!$D$22</definedName>
    <definedName name="ROYALTY_ESPECIE_03">'PATRICIA MIRRA'!$E$22</definedName>
    <definedName name="ROYALTY_ESPECIE_04">'PATRICIA MIRRA'!$F$22</definedName>
    <definedName name="ROYALTY_ESPECIE_05">'PATRICIA MIRRA'!$G$22</definedName>
    <definedName name="ROYALTY_ESPECIE_06">'PATRICIA MIRRA'!$H$22</definedName>
    <definedName name="ROYALTY_ESPECIE_07">'PATRICIA MIRRA'!$I$22</definedName>
    <definedName name="ROYALTY_ESPECIE_08">'PATRICIA MIRRA'!$J$22</definedName>
    <definedName name="ROYALTY_PERCENTUAL_01">'PATRICIA MIRRA'!$C$21</definedName>
    <definedName name="ROYALTY_PERCENTUAL_02">'PATRICIA MIRRA'!$D$21</definedName>
    <definedName name="ROYALTY_PERCENTUAL_03">'PATRICIA MIRRA'!$E$21</definedName>
    <definedName name="ROYALTY_PERCENTUAL_04">'PATRICIA MIRRA'!$F$21</definedName>
    <definedName name="ROYALTY_PERCENTUAL_05">'PATRICIA MIRRA'!$G$21</definedName>
    <definedName name="ROYALTY_PERCENTUAL_06">'PATRICIA MIRRA'!$H$21</definedName>
    <definedName name="ROYALTY_PERCENTUAL_07">'PATRICIA MIRRA'!$I$21</definedName>
    <definedName name="ROYALTY_PERCENTUAL_08">'PATRICIA MIRRA'!$J$21</definedName>
    <definedName name="SERVICO">'PATRICIA MIRRA'!$C$80</definedName>
    <definedName name="SomaCustos_01">'PATRICIA MIRRA'!$C$58</definedName>
    <definedName name="SomaCustos_02">'PATRICIA MIRRA'!$D$58</definedName>
    <definedName name="SomaCustos_03">'PATRICIA MIRRA'!$E$58</definedName>
    <definedName name="SomaCustos_04">'PATRICIA MIRRA'!$F$58</definedName>
    <definedName name="SomaCustos_05">'PATRICIA MIRRA'!$G$58</definedName>
    <definedName name="SomaCustos_06">'PATRICIA MIRRA'!$H$58</definedName>
    <definedName name="SomaCustos_07">'PATRICIA MIRRA'!$I$58</definedName>
    <definedName name="SomaCustos_08">'PATRICIA MIRRA'!$J$58</definedName>
    <definedName name="TIPO">OFFSET(APOIO!$F$2,0,0,COUNTA(APOIO!$F:$F)-1,1)</definedName>
    <definedName name="TIRAGEM_01">'PATRICIA MIRRA'!$C$60</definedName>
    <definedName name="TIRAGEM_02">'PATRICIA MIRRA'!$D$60</definedName>
    <definedName name="TIRAGEM_03">'PATRICIA MIRRA'!$E$60</definedName>
    <definedName name="TIRAGEM_04">'PATRICIA MIRRA'!$F$60</definedName>
    <definedName name="TIRAGEM_05">'PATRICIA MIRRA'!$G$60</definedName>
    <definedName name="TIRAGEM_06">'PATRICIA MIRRA'!$H$60</definedName>
    <definedName name="TIRAGEM_07">'PATRICIA MIRRA'!$I$60</definedName>
    <definedName name="TIRAGEM_08">'PATRICIA MIRRA'!$J$60</definedName>
    <definedName name="ValorUnitarioCompras_01">'PATRICIA MIRRA'!$C$75</definedName>
    <definedName name="ValorUnitarioCompras_02">'PATRICIA MIRRA'!$D$75</definedName>
    <definedName name="ValorUnitarioCompras_03">'PATRICIA MIRRA'!$E$75</definedName>
    <definedName name="ValorUnitarioCompras_04">'PATRICIA MIRRA'!$F$75</definedName>
    <definedName name="ValorUnitarioCompras_05">'PATRICIA MIRRA'!$G$75</definedName>
    <definedName name="ValorUnitarioCompras_06">'PATRICIA MIRRA'!$H$75</definedName>
    <definedName name="ValorUnitarioCompras_07">'PATRICIA MIRRA'!$I$75</definedName>
    <definedName name="ValorUnitarioCompras_08">'PATRICIA MIRRA'!$J$75</definedName>
    <definedName name="ValorUnitarioMKT_01">'PATRICIA MIRRA'!$C$67</definedName>
    <definedName name="ValorUnitarioMKT_02">'PATRICIA MIRRA'!$D$67</definedName>
    <definedName name="ValorUnitarioMKT_03">'PATRICIA MIRRA'!$E$67</definedName>
    <definedName name="ValorUnitarioMKT_04">'PATRICIA MIRRA'!$F$67</definedName>
    <definedName name="ValorUnitarioMKT_05">'PATRICIA MIRRA'!$G$67</definedName>
    <definedName name="ValorUnitarioMKT_06">'PATRICIA MIRRA'!$H$67</definedName>
    <definedName name="ValorUnitarioMKT_07">'PATRICIA MIRRA'!$I$67</definedName>
    <definedName name="ValorUnitarioMKT_08">'PATRICIA MIRRA'!$J$67</definedName>
    <definedName name="VENDAS">OFFSET('PATRICIA MIRRA'!$S$3,0,0,COUNTA('PATRICIA MIRRA'!$S:$S)-2,1)</definedName>
    <definedName name="Z_437F6487_5027_419A_843F_1746F5494E4F_.wvu.FilterData" localSheetId="0" hidden="1">'PATRICIA MIRRA'!#REF!</definedName>
    <definedName name="Z_437F6487_5027_419A_843F_1746F5494E4F_.wvu.PrintArea" localSheetId="0" hidden="1">'PATRICIA MIRRA'!$B$1:$J$60</definedName>
    <definedName name="Z_5B1E8DBA_90DA_43E8_AAC8_B7C5A23492D3_.wvu.FilterData" localSheetId="0" hidden="1">'PATRICIA MIRRA'!#REF!</definedName>
    <definedName name="Z_5B1E8DBA_90DA_43E8_AAC8_B7C5A23492D3_.wvu.PrintArea" localSheetId="0" hidden="1">'PATRICIA MIRRA'!$B$1:$J$60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5" i="22"/>
  <c r="F4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C77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<sst xmlns="http://schemas.openxmlformats.org/spreadsheetml/2006/main" count="1705" uniqueCount="1293">
  <si>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</si>
  <si>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</si>
  <si>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</si>
  <si>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</si>
  <si>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</si>
  <si>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</si>
  <si>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</si>
  <si>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</si>
  <si>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</si>
  <si>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</si>
  <si>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</si>
  <si>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</si>
  <si>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</si>
  <si>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</si>
  <si>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</si>
  <si>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</si>
  <si>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</si>
  <si>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</si>
  <si>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</si>
  <si>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</si>
  <si>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</si>
  <si>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</si>
  <si>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</si>
  <si>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</si>
  <si>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</si>
  <si>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</si>
  <si>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</si>
  <si>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</si>
  <si>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</si>
  <si>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</si>
  <si>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</si>
  <si>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</si>
  <si>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</si>
  <si>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</si>
  <si>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</si>
  <si>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</si>
  <si>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</si>
  <si>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</si>
  <si>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</si>
  <si>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</si>
  <si>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</si>
  <si>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</si>
  <si>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</si>
  <si>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</si>
  <si>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</si>
  <si>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</si>
  <si>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</si>
  <si>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</si>
  <si>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</si>
  <si>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</si>
  <si>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</si>
  <si>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</si>
  <si>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</si>
  <si>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</si>
  <si>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</si>
  <si>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</si>
  <si>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</si>
  <si>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</si>
  <si>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</si>
  <si>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</si>
  <si>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</si>
  <si>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</si>
  <si>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</si>
  <si>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</si>
  <si>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</si>
  <si>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</si>
  <si>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</si>
  <si>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</si>
  <si>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</si>
  <si>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</si>
  <si>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</si>
  <si>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</si>
  <si>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</si>
  <si>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</si>
  <si>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</si>
  <si>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</si>
  <si>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</si>
  <si>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</si>
  <si>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</si>
  <si>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</si>
  <si>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</si>
  <si>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</si>
  <si>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</si>
  <si>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</si>
  <si>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</si>
  <si>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</si>
  <si>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</si>
  <si>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</si>
  <si>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</si>
  <si>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</si>
  <si>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</si>
  <si>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</si>
  <si>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</si>
  <si>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</si>
  <si>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</si>
  <si>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</si>
  <si>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</si>
  <si>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</si>
  <si>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</si>
  <si>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</si>
  <si>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</si>
  <si>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</si>
  <si>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</si>
  <si>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</si>
  <si>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</si>
  <si>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</si>
  <si>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</si>
  <si>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</si>
  <si>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</si>
  <si>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</si>
  <si>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</si>
  <si>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</si>
  <si>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</si>
  <si>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</si>
  <si>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</si>
  <si>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</si>
  <si>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</si>
  <si>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</si>
  <si>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</si>
  <si>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</si>
  <si>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</si>
  <si>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</si>
  <si>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</si>
  <si>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</si>
  <si>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</si>
  <si>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</si>
  <si>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</si>
  <si>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</si>
  <si>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</si>
  <si>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</si>
  <si>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</si>
  <si>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</si>
  <si>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</si>
  <si>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</si>
  <si>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</si>
  <si>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</si>
  <si>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</si>
  <si>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</si>
  <si>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</si>
  <si>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</si>
  <si>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</si>
  <si>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</si>
  <si>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</si>
  <si>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</si>
  <si>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</si>
  <si>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</si>
  <si>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</si>
  <si>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</si>
  <si>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</si>
  <si>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</si>
  <si>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</si>
  <si>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</si>
  <si>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</si>
  <si>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</si>
  <si>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</si>
  <si>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</si>
  <si>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</si>
  <si>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</si>
  <si>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</si>
  <si>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</si>
  <si>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</si>
  <si>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</si>
  <si>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</si>
  <si>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</si>
  <si>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</si>
  <si>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</si>
  <si>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</si>
  <si>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</si>
  <si>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</si>
  <si>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</si>
  <si>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</si>
  <si>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</si>
  <si>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</si>
  <si>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</si>
  <si>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</si>
  <si>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</si>
  <si>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</si>
  <si>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</si>
  <si>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</si>
  <si>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</si>
  <si>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</si>
  <si>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</si>
  <si>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</si>
  <si>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</si>
  <si>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</si>
  <si>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</si>
  <si>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</si>
  <si>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</si>
  <si>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</si>
  <si>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</si>
  <si>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</si>
  <si>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</si>
  <si>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</si>
  <si>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</si>
  <si>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</si>
  <si>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</si>
  <si>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</si>
  <si>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</si>
  <si>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</si>
  <si>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</si>
  <si>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</si>
  <si>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</si>
  <si>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</si>
  <si>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</si>
  <si>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</si>
  <si>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</si>
  <si>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</si>
  <si>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</si>
  <si>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</si>
  <si>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</si>
  <si>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</si>
  <si>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</si>
  <si>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</si>
  <si>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</si>
  <si>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</si>
  <si>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</si>
  <si>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</si>
  <si>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</si>
  <si>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</si>
  <si>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</si>
  <si>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</si>
  <si>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</si>
  <si>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</si>
  <si>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</si>
  <si>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</si>
  <si>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</si>
  <si>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</si>
  <si>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</si>
  <si>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</si>
  <si>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</si>
  <si>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</si>
  <si>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</si>
  <si>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</si>
  <si>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</si>
  <si>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</si>
  <si>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</si>
  <si>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</si>
  <si>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</si>
  <si>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</si>
  <si>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</si>
  <si>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</si>
  <si>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</si>
  <si>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</si>
  <si>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</si>
  <si>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</si>
  <si>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</si>
  <si>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</si>
  <si>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</si>
  <si>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</si>
  <si>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</si>
  <si>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</si>
  <si>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</si>
  <si>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</si>
  <si>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</si>
  <si>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</si>
  <si>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</si>
  <si>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</si>
  <si>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</si>
  <si>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</si>
  <si>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</si>
  <si>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</si>
  <si>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</si>
  <si>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</si>
  <si>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</si>
  <si>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</si>
  <si>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</si>
  <si>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</si>
  <si>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</si>
  <si>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</si>
  <si>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</si>
  <si>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</si>
  <si>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</si>
  <si>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</si>
  <si>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</si>
  <si>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</si>
  <si>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</si>
  <si>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</si>
  <si>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</si>
  <si>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</si>
  <si>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</si>
  <si>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</si>
  <si>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</si>
  <si>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</si>
  <si>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</si>
  <si>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</si>
  <si>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</si>
  <si>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</si>
  <si>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</si>
  <si>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</si>
  <si>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</si>
  <si>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</si>
  <si>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</si>
  <si>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</si>
  <si>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</si>
  <si>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</si>
  <si>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</si>
  <si>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</si>
  <si>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</si>
  <si>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</si>
  <si>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</si>
  <si>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</si>
  <si>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</si>
  <si>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</si>
  <si>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</si>
  <si>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</si>
  <si>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</si>
  <si>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</si>
  <si>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</si>
  <si>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</si>
  <si>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</si>
  <si>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</si>
  <si>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</si>
  <si>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</si>
  <si>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</si>
  <si>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</si>
  <si>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</si>
  <si>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</si>
  <si>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</si>
  <si>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</si>
  <si>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</si>
  <si>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</si>
  <si>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</si>
  <si>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</si>
  <si>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</si>
  <si>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</si>
  <si>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</si>
  <si>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</si>
  <si>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</si>
  <si>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</si>
  <si>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</si>
  <si>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</si>
  <si>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</si>
  <si>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</si>
  <si>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</si>
  <si>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</si>
  <si>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</si>
  <si>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</si>
  <si>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</si>
  <si>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</si>
  <si>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</si>
  <si>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</si>
  <si>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</si>
  <si>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</si>
  <si>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</si>
  <si>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</si>
  <si>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</si>
  <si>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</si>
  <si>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</si>
  <si>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</si>
  <si>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</si>
  <si>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</si>
  <si>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</si>
  <si>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</si>
  <si>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</si>
  <si>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</si>
  <si>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</si>
  <si>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</si>
  <si>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</si>
  <si>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</si>
  <si>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</si>
  <si>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</si>
  <si>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</si>
  <si>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</si>
  <si>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</si>
  <si>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</si>
  <si>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</si>
  <si>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</si>
  <si>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</si>
  <si>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</si>
  <si>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</si>
  <si>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</si>
  <si>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</si>
  <si>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</si>
  <si>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</si>
  <si>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</si>
  <si>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</si>
  <si>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</si>
  <si>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</si>
  <si>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</si>
  <si>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</si>
  <si>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</si>
  <si>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</si>
  <si>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</si>
  <si>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</si>
  <si>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</si>
  <si>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</si>
  <si>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</si>
  <si>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</si>
  <si>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</si>
  <si>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</si>
  <si>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</si>
  <si>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</si>
  <si>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</si>
  <si>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</si>
  <si>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</si>
  <si>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</si>
  <si>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</si>
  <si>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</si>
  <si>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</si>
  <si>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</si>
  <si>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</si>
  <si>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</si>
  <si>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</si>
  <si>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</si>
  <si>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</si>
  <si>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</si>
  <si>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</si>
  <si>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</si>
  <si>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</si>
  <si>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</si>
  <si>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</si>
  <si>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</si>
  <si>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</si>
  <si>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THIEME</t>
  </si>
  <si>
    <t>TOUCH BRIEFINGS</t>
  </si>
  <si>
    <t>UNIVERSITY OF CHICAGO PRESS</t>
  </si>
  <si>
    <t>WALCHLI TAUBER</t>
  </si>
  <si>
    <t>WEBMD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</si>
  <si>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</si>
  <si>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</si>
  <si>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</si>
  <si>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</si>
  <si>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</si>
  <si>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</si>
  <si>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</si>
  <si>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</si>
  <si>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</si>
  <si>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</si>
  <si>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</si>
  <si>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</si>
  <si>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</si>
  <si>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</si>
  <si>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</si>
  <si>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</si>
  <si>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</si>
  <si>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</si>
  <si>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</si>
  <si>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</si>
  <si>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</si>
  <si>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</si>
  <si>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</si>
  <si>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</si>
  <si>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</si>
  <si>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</si>
  <si>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</si>
  <si>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</si>
  <si>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</si>
  <si>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</si>
  <si>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</si>
  <si>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</si>
  <si>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</si>
  <si>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</si>
  <si>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</si>
  <si>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</si>
  <si>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</si>
  <si>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</si>
  <si>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</si>
  <si>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</si>
  <si>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</si>
  <si>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</si>
  <si>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</si>
  <si>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</si>
  <si>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</si>
  <si>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</si>
  <si>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</si>
  <si>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</si>
  <si>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</si>
  <si>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</si>
  <si>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</si>
  <si>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</si>
  <si>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</si>
  <si>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</si>
  <si>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</si>
  <si>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</si>
  <si>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</si>
  <si>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</si>
  <si>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</si>
  <si>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</si>
  <si>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</si>
  <si>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</si>
  <si>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</si>
  <si>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</si>
  <si>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</si>
  <si>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</si>
  <si>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</si>
  <si>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</si>
  <si>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</si>
  <si>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</si>
  <si>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</si>
  <si>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</si>
  <si>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</si>
  <si>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</si>
  <si>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</si>
  <si>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</si>
  <si>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</si>
  <si>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</si>
  <si>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</si>
  <si>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</si>
  <si>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</si>
  <si>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INDICE</t>
  </si>
  <si>
    <t>DESCONTOS</t>
  </si>
  <si>
    <t>VALOR DESCONTO (%)</t>
  </si>
  <si>
    <t>MOTIVO</t>
  </si>
  <si>
    <t>FORMATO</t>
  </si>
  <si>
    <t>14 X 21</t>
  </si>
  <si>
    <t>17,5 X 25</t>
  </si>
  <si>
    <t>21 X 28</t>
  </si>
  <si>
    <t>MEDLEY</t>
  </si>
  <si>
    <t>NEOQUIMICA</t>
  </si>
  <si>
    <t>PFIZER</t>
  </si>
  <si>
    <t>PIERRE-FABRE</t>
  </si>
  <si>
    <t>ROCHE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</si>
  <si>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</si>
  <si>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</si>
  <si>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</si>
  <si>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</si>
  <si>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</si>
  <si>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</si>
  <si>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</si>
  <si>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</si>
  <si>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</si>
  <si>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</si>
  <si>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</si>
  <si>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</si>
  <si>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</si>
  <si>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</si>
  <si>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</si>
  <si>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</si>
  <si>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</si>
  <si>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</si>
  <si>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</si>
  <si>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</si>
  <si>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</si>
  <si>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</si>
  <si>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</si>
  <si>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</si>
  <si>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</si>
  <si>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</si>
  <si>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</si>
  <si>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</si>
  <si>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</si>
  <si>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</si>
  <si>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</si>
  <si>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</si>
  <si>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</si>
  <si>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</si>
  <si>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</si>
  <si>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</si>
  <si>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</si>
  <si>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</si>
  <si>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</si>
  <si>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</si>
  <si>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</si>
  <si>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</si>
  <si>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</si>
  <si>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</si>
  <si>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</si>
  <si>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</si>
  <si>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</si>
  <si>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</si>
  <si>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</si>
  <si>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</si>
  <si>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</si>
  <si>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</si>
  <si>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</si>
  <si>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</si>
  <si>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</si>
  <si>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</si>
  <si>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</si>
  <si>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</si>
  <si>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</si>
  <si>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</si>
  <si>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</si>
  <si>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</si>
  <si>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</si>
  <si>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</si>
  <si>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</si>
  <si>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</si>
  <si>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</si>
  <si>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</si>
  <si>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</si>
  <si>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</si>
  <si>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</si>
  <si>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</si>
  <si>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</si>
  <si>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</si>
  <si>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</si>
  <si>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</si>
  <si>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</si>
  <si>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</si>
  <si>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</si>
  <si>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</si>
  <si>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</si>
  <si>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</si>
  <si>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</si>
  <si>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</si>
  <si>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</si>
  <si>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</si>
  <si>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</si>
  <si>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</si>
  <si>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</si>
  <si>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</si>
  <si>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</si>
  <si>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</si>
  <si>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</si>
  <si>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</si>
  <si>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</si>
  <si>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</si>
  <si>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</si>
  <si>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</si>
  <si>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</si>
  <si>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</si>
  <si>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</si>
  <si>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</si>
  <si>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</si>
  <si>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</si>
  <si>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</si>
  <si>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</si>
  <si>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</si>
  <si>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</si>
  <si>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</si>
  <si>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</si>
  <si>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</si>
  <si>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</si>
  <si>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</si>
  <si>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</si>
  <si>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</si>
  <si>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</si>
  <si>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</si>
  <si>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</si>
  <si>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</si>
  <si>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</si>
  <si>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</si>
  <si>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</si>
  <si>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</si>
  <si>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</si>
  <si>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</si>
  <si>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</si>
  <si>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</si>
  <si>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</si>
  <si>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</si>
  <si>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</si>
  <si>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</si>
  <si>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</si>
  <si>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</si>
  <si>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</si>
  <si>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</si>
  <si>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</si>
  <si>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</si>
  <si>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</si>
  <si>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</si>
  <si>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</si>
  <si>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</si>
  <si>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</si>
  <si>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</si>
  <si>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</si>
  <si>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</si>
  <si>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</si>
  <si>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</si>
  <si>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</si>
  <si>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</si>
  <si>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</si>
  <si>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</si>
  <si>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</si>
  <si>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</si>
  <si>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</si>
  <si>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</si>
  <si>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</si>
  <si>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</si>
  <si>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</si>
  <si>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</si>
  <si>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</si>
  <si>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</si>
  <si>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</si>
  <si>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</si>
  <si>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</si>
  <si>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</si>
  <si>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</si>
  <si>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</si>
  <si>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</si>
  <si>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</si>
  <si>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</si>
  <si>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</si>
  <si>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</si>
  <si>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</si>
  <si>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</si>
  <si>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</si>
  <si>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</si>
  <si>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</si>
  <si>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</si>
  <si>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</si>
  <si>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</si>
  <si>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</si>
  <si>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</si>
  <si>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</si>
  <si>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</si>
  <si>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</si>
  <si>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</si>
  <si>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</si>
  <si>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</si>
  <si>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</si>
  <si>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</si>
  <si>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</si>
  <si>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</si>
  <si>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</si>
  <si>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</si>
  <si>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</si>
  <si>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</si>
  <si>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</si>
  <si>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</si>
  <si>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</si>
  <si>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</si>
  <si>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</si>
  <si>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</si>
  <si>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</si>
  <si>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</si>
  <si>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</si>
  <si>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</si>
  <si>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</si>
  <si>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</si>
  <si>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</si>
  <si>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</si>
  <si>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</si>
  <si>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</si>
  <si>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</si>
  <si>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</si>
  <si>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</si>
  <si>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</si>
  <si>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</si>
  <si>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</si>
  <si>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</si>
  <si>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</si>
  <si>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</si>
  <si>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</si>
  <si>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</si>
  <si>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</si>
  <si>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</si>
  <si>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</si>
  <si>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</si>
  <si>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</si>
  <si>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</si>
  <si>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</si>
  <si>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</si>
  <si>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</si>
  <si>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</si>
  <si>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</si>
  <si>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</si>
  <si>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</si>
  <si>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</si>
  <si>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</si>
  <si>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</si>
  <si>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</si>
  <si>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</si>
  <si>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</si>
  <si>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</si>
  <si>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</si>
  <si>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</si>
  <si>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</si>
  <si>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</si>
  <si>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</si>
  <si>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</si>
  <si>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</si>
  <si>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</si>
  <si>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</si>
  <si>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</si>
  <si>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</si>
  <si>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</si>
  <si>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</si>
  <si>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</si>
  <si>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</si>
  <si>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</si>
  <si>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</si>
  <si>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</si>
  <si>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</si>
  <si>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</si>
  <si>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</si>
  <si>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</si>
  <si>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</si>
  <si>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</si>
  <si>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</si>
  <si>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</si>
  <si>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</si>
  <si>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</si>
  <si>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</si>
  <si>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</si>
  <si>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</si>
  <si>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</si>
  <si>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</si>
  <si>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</si>
  <si>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</si>
  <si>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</si>
  <si>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</si>
  <si>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</si>
  <si>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</si>
  <si>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</si>
  <si>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</si>
  <si>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</si>
  <si>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</si>
  <si>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</si>
  <si>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</si>
  <si>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</si>
  <si>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</si>
  <si>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</si>
  <si>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</si>
  <si>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</si>
  <si>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</si>
  <si>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</si>
  <si>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</si>
  <si>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</si>
  <si>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</si>
  <si>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</si>
  <si>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</si>
  <si>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</si>
  <si>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</si>
  <si>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</si>
  <si>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</si>
  <si>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</si>
  <si>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</si>
  <si>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</si>
  <si>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</si>
  <si>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</si>
  <si>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</si>
  <si>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</si>
  <si>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</si>
  <si>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</si>
  <si>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</si>
  <si>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</si>
  <si>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</si>
  <si>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</si>
  <si>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</si>
  <si>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</si>
  <si>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</si>
  <si>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</si>
  <si>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</si>
  <si>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</si>
  <si>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</si>
  <si>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</si>
  <si>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</si>
  <si>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</si>
  <si>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</si>
  <si>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</si>
  <si>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</si>
  <si>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</si>
  <si>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</si>
  <si>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</si>
  <si>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</si>
  <si>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</si>
  <si>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</si>
  <si>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</si>
  <si>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</si>
  <si>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</si>
  <si>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</si>
  <si>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</si>
  <si>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</si>
  <si>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</si>
  <si>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</si>
  <si>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</si>
  <si>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</si>
  <si>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</si>
  <si>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</si>
  <si>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</si>
  <si>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</si>
  <si>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</si>
  <si>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</si>
  <si>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</si>
  <si>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</si>
  <si>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</si>
  <si>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</si>
  <si>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</si>
  <si>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</si>
  <si>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</si>
  <si>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</si>
  <si>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</si>
  <si>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</si>
  <si>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</si>
  <si>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</si>
  <si>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</si>
  <si>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</si>
  <si>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</si>
  <si>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</si>
  <si>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</si>
  <si>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</si>
  <si>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</si>
  <si>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</si>
  <si>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</si>
  <si>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</si>
  <si>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</si>
  <si>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</si>
  <si>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</si>
  <si>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</si>
  <si>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</si>
  <si>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</si>
  <si>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</si>
  <si>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</si>
  <si>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</si>
  <si>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</si>
  <si>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</si>
  <si>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</si>
  <si>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</si>
  <si>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</si>
  <si>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</si>
  <si>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</si>
  <si>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</si>
  <si>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</si>
  <si>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</si>
  <si>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</si>
  <si>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</si>
  <si>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</si>
  <si>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</si>
  <si>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</si>
  <si>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</si>
  <si>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</si>
  <si>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</si>
  <si>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</si>
  <si>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</si>
  <si>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</si>
  <si>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</si>
  <si>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</si>
  <si>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</si>
  <si>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</si>
  <si>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</si>
  <si>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</si>
  <si>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</si>
  <si>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</si>
  <si>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</si>
  <si>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</si>
  <si>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</si>
  <si>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</si>
  <si>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</si>
  <si>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</si>
  <si>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</si>
  <si>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</si>
  <si>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</si>
  <si>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</si>
  <si>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</si>
  <si>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</si>
  <si>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</si>
  <si>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</si>
  <si>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</si>
  <si>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</si>
  <si>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</si>
  <si>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</si>
  <si>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</si>
  <si>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</si>
  <si>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</si>
  <si>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</si>
  <si>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</si>
  <si>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</si>
  <si>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</si>
  <si>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</si>
  <si>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</si>
  <si>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</si>
  <si>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</si>
  <si>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</si>
  <si>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</si>
  <si>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</si>
  <si>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</si>
  <si>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</si>
  <si>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</si>
  <si>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</si>
  <si>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</si>
  <si>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</si>
  <si>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</si>
  <si>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</si>
  <si>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</si>
  <si>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</si>
  <si>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</si>
  <si>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</si>
  <si>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</si>
  <si>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</si>
  <si>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</si>
  <si>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</si>
  <si>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</si>
  <si>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</si>
  <si>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</si>
  <si>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</si>
  <si>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</si>
  <si>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</si>
  <si>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</si>
  <si>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</si>
  <si>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</si>
  <si>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</si>
  <si>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</si>
  <si>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</si>
  <si>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</si>
  <si>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</si>
  <si>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</si>
  <si>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</si>
  <si>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</si>
  <si>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</si>
  <si>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</si>
  <si>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</si>
  <si>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</si>
  <si>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</si>
  <si>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</si>
  <si>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</si>
  <si>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</si>
  <si>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</si>
  <si>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</si>
  <si>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</si>
  <si>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</si>
  <si>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</si>
  <si>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</si>
  <si>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</si>
  <si>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</si>
  <si>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</si>
  <si>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</si>
  <si>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</si>
  <si>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</si>
  <si>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</si>
  <si>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</si>
  <si>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</si>
  <si>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</si>
  <si>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</si>
  <si>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</si>
  <si>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</si>
  <si>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</si>
  <si>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</si>
  <si>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</si>
  <si>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</si>
  <si>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</si>
  <si>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</si>
  <si>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</si>
  <si>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</si>
  <si>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</si>
  <si>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</si>
  <si>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</si>
  <si>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</si>
  <si>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</si>
  <si>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</si>
  <si>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</si>
  <si>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</si>
  <si>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</si>
  <si>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</si>
  <si>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</si>
  <si>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</si>
  <si>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</si>
  <si>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</si>
  <si>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</si>
  <si>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</si>
  <si>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</si>
  <si>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</si>
  <si>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</si>
  <si>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</si>
  <si>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</si>
  <si>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</si>
  <si>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</si>
  <si>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</si>
  <si>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</si>
  <si>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</si>
  <si>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NOVARTIS</t>
  </si>
  <si>
    <t>NOVONORDISK</t>
  </si>
  <si>
    <t>LOCAL</t>
  </si>
  <si>
    <t>WEB</t>
  </si>
  <si>
    <t>UpdateSystem</t>
  </si>
  <si>
    <t>status</t>
  </si>
  <si>
    <t>C:\Users\AILTON\Desktop\#SPRINGER\@VENDAS\db\dbOrcamentos.mdb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</si>
  <si>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</si>
  <si>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</si>
  <si>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</si>
  <si>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</si>
  <si>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</si>
  <si>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</si>
  <si>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</si>
  <si>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</si>
  <si>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</si>
  <si>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</si>
  <si>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</si>
  <si>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</si>
  <si>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</si>
  <si>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</si>
  <si>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</si>
  <si>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</si>
  <si>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</si>
  <si>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</si>
  <si>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</si>
  <si>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</si>
  <si>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</si>
  <si>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</si>
  <si>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</si>
  <si>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</si>
  <si>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</si>
  <si>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</si>
  <si>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</si>
  <si>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</si>
  <si>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</si>
  <si>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</si>
  <si>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</si>
  <si>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</si>
  <si>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</si>
  <si>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</si>
  <si>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</si>
  <si>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</si>
  <si>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</si>
  <si>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</si>
  <si>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</si>
  <si>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</si>
  <si>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</si>
  <si>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</si>
  <si>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</si>
  <si>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</si>
  <si>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</si>
  <si>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</si>
  <si>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</si>
  <si>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</si>
  <si>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</si>
  <si>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</si>
  <si>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</si>
  <si>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</si>
  <si>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</si>
  <si>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</si>
  <si>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</si>
  <si>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</si>
  <si>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</si>
  <si>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</si>
  <si>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</si>
  <si>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</si>
  <si>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</si>
  <si>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</si>
  <si>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</si>
  <si>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</si>
  <si>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</si>
  <si>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</si>
  <si>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</si>
  <si>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</si>
  <si>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</si>
  <si>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</si>
  <si>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</si>
  <si>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ADIS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</si>
  <si>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</si>
  <si>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</si>
  <si>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</si>
  <si>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</si>
  <si>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</si>
  <si>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</si>
  <si>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</si>
  <si>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</si>
  <si>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</si>
  <si>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</si>
  <si>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</si>
  <si>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</si>
  <si>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</si>
  <si>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</si>
  <si>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</si>
  <si>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</si>
  <si>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</si>
  <si>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</si>
  <si>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</si>
  <si>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</si>
  <si>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</si>
  <si>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</si>
  <si>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</si>
  <si>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</si>
  <si>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</si>
  <si>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</si>
  <si>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</si>
  <si>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</si>
  <si>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</si>
  <si>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</si>
  <si>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</si>
  <si>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</si>
  <si>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</si>
  <si>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</si>
  <si>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</si>
  <si>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JRAAS</t>
  </si>
  <si>
    <t>KARGER</t>
  </si>
  <si>
    <t>KLUWER ACADEMIC</t>
  </si>
  <si>
    <t>LIBRAPHARM</t>
  </si>
  <si>
    <t>LIPPINCOTT, WILLIAMS &amp; WILKINS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</si>
  <si>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</si>
  <si>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</si>
  <si>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</si>
  <si>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</si>
  <si>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</si>
  <si>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</si>
  <si>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</si>
  <si>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</si>
  <si>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</si>
  <si>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NCCN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</si>
  <si>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</si>
  <si>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</si>
  <si>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</si>
  <si>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</si>
  <si>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</si>
  <si>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PTP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</si>
  <si>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</si>
  <si>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</si>
  <si>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</si>
  <si>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</si>
  <si>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</si>
  <si>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</si>
  <si>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</si>
  <si>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</si>
  <si>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Abbott/Abbvie</t>
  </si>
  <si>
    <t>ACHÉ</t>
  </si>
  <si>
    <t>ACTELION</t>
  </si>
  <si>
    <t>ALCON</t>
  </si>
  <si>
    <t>ALEXION</t>
  </si>
  <si>
    <t>ALLERGAN</t>
  </si>
  <si>
    <t>AMGEN - BERGAMO</t>
  </si>
  <si>
    <t>APSEN</t>
  </si>
  <si>
    <t>ASTELLAS</t>
  </si>
  <si>
    <t>AstraZeneca</t>
  </si>
  <si>
    <t>BAGO</t>
  </si>
  <si>
    <t>BALDACCI</t>
  </si>
  <si>
    <t>BAUSCH + LOMB</t>
  </si>
  <si>
    <t>BAXTER</t>
  </si>
  <si>
    <t>BAYER</t>
  </si>
  <si>
    <t>BIOGEN</t>
  </si>
  <si>
    <t>BIOLAB</t>
  </si>
  <si>
    <t>BIOMARIM</t>
  </si>
  <si>
    <t>Boehringer</t>
  </si>
  <si>
    <t>BRISTOL MYERS SQUIBB</t>
  </si>
  <si>
    <t>CELLOFARMA</t>
  </si>
  <si>
    <t>CRISTÁLIA</t>
  </si>
  <si>
    <t>DAICHI SANKYO</t>
  </si>
  <si>
    <t>EliLilly</t>
  </si>
  <si>
    <t xml:space="preserve">EMS </t>
  </si>
  <si>
    <t>EUROFARMA</t>
  </si>
  <si>
    <t>FARMALAB-CHIESI</t>
  </si>
  <si>
    <t>FERRING</t>
  </si>
  <si>
    <t>FQM + HERBARIUM</t>
  </si>
  <si>
    <t>GALDERMA</t>
  </si>
  <si>
    <t>GENZYME</t>
  </si>
  <si>
    <t>GLAXOSMITHKLINE</t>
  </si>
  <si>
    <t>GLENMARK</t>
  </si>
  <si>
    <t>HOSPIRA</t>
  </si>
  <si>
    <t>HYPERMARCAS</t>
  </si>
  <si>
    <t>JANSSEN</t>
  </si>
  <si>
    <t>LEO PHARMA</t>
  </si>
  <si>
    <t>LIBBS</t>
  </si>
  <si>
    <t>LUNDBECK</t>
  </si>
  <si>
    <t>MEADJOHNSON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</si>
  <si>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</si>
  <si>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</si>
  <si>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</si>
  <si>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</si>
  <si>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</si>
  <si>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</si>
  <si>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FRANCES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</si>
  <si>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</si>
  <si>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</si>
  <si>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</si>
  <si>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</si>
  <si>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</si>
  <si>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</si>
  <si>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</si>
  <si>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</si>
  <si>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</si>
  <si>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</si>
  <si>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</si>
  <si>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</si>
  <si>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MIOLO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</si>
  <si>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</si>
  <si>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</si>
  <si>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</si>
  <si>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</si>
  <si>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</si>
  <si>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</si>
  <si>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</si>
  <si>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</si>
  <si>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</si>
  <si>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</si>
  <si>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</si>
  <si>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</si>
  <si>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</si>
  <si>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</si>
  <si>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</si>
  <si>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</si>
  <si>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</si>
  <si>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</si>
  <si>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</si>
  <si>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</si>
  <si>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</si>
  <si>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</si>
  <si>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</si>
  <si>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</si>
  <si>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</si>
  <si>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</si>
  <si>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</si>
  <si>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</si>
  <si>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0 X 0</t>
  </si>
  <si>
    <t>1 X 1</t>
  </si>
  <si>
    <t>2 X 2</t>
  </si>
  <si>
    <t>2 X 4</t>
  </si>
  <si>
    <t>_A</t>
  </si>
  <si>
    <t>_B</t>
  </si>
  <si>
    <t>_C</t>
  </si>
  <si>
    <t>_D</t>
  </si>
  <si>
    <t>_X</t>
  </si>
  <si>
    <t>_Y</t>
  </si>
  <si>
    <t>_Z</t>
  </si>
  <si>
    <t>PATRICIA MIRRA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</si>
</sst>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17" fillId="9" borderId="12" xfId="8" applyFont="1" applyFill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10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zoomScale="55" zoomScaleNormal="55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1292</v>
      </c>
      <c r="B1" s="196" t="s">
        <v>1056</v>
      </c>
      <c r="C1" s="197"/>
      <c r="D1" s="197"/>
      <c r="E1" s="197"/>
      <c r="F1" s="197"/>
      <c r="G1" s="197"/>
      <c r="H1" s="197"/>
      <c r="I1" s="197"/>
      <c r="J1" s="198"/>
      <c r="K1" s="58"/>
      <c r="L1" s="199" t="s">
        <v>496</v>
      </c>
      <c r="M1" s="199"/>
      <c r="N1" s="199"/>
      <c r="O1" s="3"/>
      <c r="P1" s="1" t="s">
        <v>480</v>
      </c>
      <c r="Q1" s="1"/>
      <c r="S1" s="1" t="s">
        <v>450</v>
      </c>
      <c r="T1" s="1"/>
      <c r="V1" s="200" t="s">
        <v>500</v>
      </c>
      <c r="W1" s="200"/>
      <c r="X1" s="200"/>
      <c r="Y1" s="200"/>
      <c r="Z1" s="200"/>
      <c r="AB1" s="33"/>
      <c r="AC1" s="1" t="s">
        <v>933</v>
      </c>
      <c r="AD1" s="1"/>
      <c r="AE1" s="44"/>
      <c r="AF1" s="1" t="s">
        <v>934</v>
      </c>
      <c r="AG1" s="1"/>
      <c r="AH1" s="44"/>
      <c r="AI1" s="1" t="s">
        <v>935</v>
      </c>
      <c r="AJ1" s="1"/>
    </row>
    <row r="2" spans="1:36" s="2" customFormat="1" ht="21.75" thickBot="1">
      <c r="A2" s="32"/>
      <c r="B2" s="189" t="s">
        <v>448</v>
      </c>
      <c r="C2" s="190"/>
      <c r="D2" s="190"/>
      <c r="E2" s="190"/>
      <c r="F2" s="190"/>
      <c r="G2" s="190"/>
      <c r="H2" s="190"/>
      <c r="I2" s="190"/>
      <c r="J2" s="191"/>
      <c r="K2" s="59"/>
      <c r="L2" s="15" t="s">
        <v>468</v>
      </c>
      <c r="M2" s="15" t="s">
        <v>497</v>
      </c>
      <c r="N2" s="15" t="s">
        <v>498</v>
      </c>
      <c r="O2" s="14"/>
      <c r="P2" s="15" t="s">
        <v>480</v>
      </c>
      <c r="Q2" s="15" t="s">
        <v>499</v>
      </c>
      <c r="S2" s="15" t="s">
        <v>450</v>
      </c>
      <c r="T2" s="15" t="s">
        <v>451</v>
      </c>
      <c r="V2" s="15" t="s">
        <v>501</v>
      </c>
      <c r="W2" s="16" t="s">
        <v>502</v>
      </c>
      <c r="X2" s="17"/>
      <c r="Y2" s="17"/>
      <c r="Z2" s="18"/>
      <c r="AB2"/>
      <c r="AC2" s="15" t="s">
        <v>936</v>
      </c>
      <c r="AD2" s="15" t="s">
        <v>937</v>
      </c>
      <c r="AE2" s="50"/>
      <c r="AF2" s="15" t="s">
        <v>936</v>
      </c>
      <c r="AG2" s="15" t="s">
        <v>937</v>
      </c>
      <c r="AH2" s="50"/>
      <c r="AI2" s="15" t="s">
        <v>936</v>
      </c>
      <c r="AJ2" s="15" t="s">
        <v>937</v>
      </c>
    </row>
    <row r="3" spans="1:36" s="5" customFormat="1" ht="56.25" customHeight="1">
      <c r="A3" s="222" t="s">
        <v>461</v>
      </c>
      <c r="B3" s="43" t="s">
        <v>462</v>
      </c>
      <c r="C3" s="225"/>
      <c r="D3" s="226"/>
      <c r="E3" s="227"/>
      <c r="F3" s="149" t="s">
        <v>1048</v>
      </c>
      <c r="G3" s="228"/>
      <c r="H3" s="229"/>
      <c r="I3" s="4" t="s">
        <v>447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01"/>
      <c r="X3" s="202"/>
      <c r="Y3" s="202"/>
      <c r="Z3" s="203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223"/>
      <c r="B4" s="6" t="s">
        <v>449</v>
      </c>
      <c r="C4" s="230"/>
      <c r="D4" s="231"/>
      <c r="E4" s="232"/>
      <c r="F4" s="149" t="s">
        <v>969</v>
      </c>
      <c r="G4" s="228"/>
      <c r="H4" s="229"/>
      <c r="I4" s="192" t="s">
        <v>904</v>
      </c>
      <c r="J4" s="195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223"/>
      <c r="B5" s="43" t="s">
        <v>463</v>
      </c>
      <c r="C5" s="233"/>
      <c r="D5" s="234"/>
      <c r="E5" s="234"/>
      <c r="F5" s="234"/>
      <c r="G5" s="234"/>
      <c r="H5" s="235"/>
      <c r="I5" s="193"/>
      <c r="J5" s="195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223"/>
      <c r="B6" s="236" t="s">
        <v>464</v>
      </c>
      <c r="C6" s="237"/>
      <c r="D6" s="238"/>
      <c r="E6" s="238"/>
      <c r="F6" s="238"/>
      <c r="G6" s="238"/>
      <c r="H6" s="239"/>
      <c r="I6" s="193"/>
      <c r="J6" s="195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223"/>
      <c r="B7" s="236"/>
      <c r="C7" s="240"/>
      <c r="D7" s="241"/>
      <c r="E7" s="241"/>
      <c r="F7" s="241"/>
      <c r="G7" s="241"/>
      <c r="H7" s="242"/>
      <c r="I7" s="194"/>
      <c r="J7" s="195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223"/>
      <c r="B8" s="6" t="s">
        <v>465</v>
      </c>
      <c r="C8" s="243"/>
      <c r="D8" s="243"/>
      <c r="E8" s="243"/>
      <c r="F8" s="243"/>
      <c r="G8" s="243"/>
      <c r="H8" s="243"/>
      <c r="I8" s="243"/>
      <c r="J8" s="244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223"/>
      <c r="B9" s="6" t="s">
        <v>466</v>
      </c>
      <c r="C9" s="243"/>
      <c r="D9" s="243"/>
      <c r="E9" s="243"/>
      <c r="F9" s="243"/>
      <c r="G9" s="243"/>
      <c r="H9" s="243"/>
      <c r="I9" s="243"/>
      <c r="J9" s="244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223"/>
      <c r="B10" s="43" t="s">
        <v>901</v>
      </c>
      <c r="C10" s="210"/>
      <c r="D10" s="211"/>
      <c r="E10" s="211"/>
      <c r="F10" s="211"/>
      <c r="G10" s="211"/>
      <c r="H10" s="211"/>
      <c r="I10" s="211"/>
      <c r="J10" s="212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223"/>
      <c r="B11" s="213" t="s">
        <v>467</v>
      </c>
      <c r="C11" s="214"/>
      <c r="D11" s="214"/>
      <c r="E11" s="214"/>
      <c r="F11" s="214"/>
      <c r="G11" s="214"/>
      <c r="H11" s="214"/>
      <c r="I11" s="214"/>
      <c r="J11" s="215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223"/>
      <c r="B12" s="71" t="s">
        <v>942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223"/>
      <c r="B13" s="81" t="s">
        <v>903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223"/>
      <c r="B14" s="72" t="s">
        <v>954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223"/>
      <c r="B15" s="82" t="s">
        <v>469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223"/>
      <c r="B16" s="88" t="s">
        <v>458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223"/>
      <c r="B17" s="6" t="s">
        <v>471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223"/>
      <c r="B18" s="86" t="s">
        <v>473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223"/>
      <c r="B19" s="29" t="s">
        <v>474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223"/>
      <c r="B20" s="6" t="s">
        <v>475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223"/>
      <c r="B21" s="43" t="s">
        <v>476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223"/>
      <c r="B22" s="72" t="s">
        <v>477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223"/>
      <c r="B23" s="43" t="s">
        <v>478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223"/>
      <c r="B24" s="245" t="s">
        <v>479</v>
      </c>
      <c r="C24" s="246"/>
      <c r="D24" s="246"/>
      <c r="E24" s="246"/>
      <c r="F24" s="246"/>
      <c r="G24" s="246"/>
      <c r="H24" s="246"/>
      <c r="I24" s="246"/>
      <c r="J24" s="247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223"/>
      <c r="B25" s="9" t="s">
        <v>938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223"/>
      <c r="B26" s="9" t="s">
        <v>939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223"/>
      <c r="B27" s="9" t="s">
        <v>940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223"/>
      <c r="B28" s="9" t="s">
        <v>941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223"/>
      <c r="B29" s="9" t="s">
        <v>481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223"/>
      <c r="B30" s="245" t="s">
        <v>482</v>
      </c>
      <c r="C30" s="246"/>
      <c r="D30" s="246"/>
      <c r="E30" s="246"/>
      <c r="F30" s="246"/>
      <c r="G30" s="246"/>
      <c r="H30" s="246"/>
      <c r="I30" s="246"/>
      <c r="J30" s="247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223"/>
      <c r="B31" s="204"/>
      <c r="C31" s="205"/>
      <c r="D31" s="205"/>
      <c r="E31" s="205"/>
      <c r="F31" s="205"/>
      <c r="G31" s="205"/>
      <c r="H31" s="205"/>
      <c r="I31" s="205"/>
      <c r="J31" s="206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223"/>
      <c r="B32" s="207"/>
      <c r="C32" s="208"/>
      <c r="D32" s="208"/>
      <c r="E32" s="208"/>
      <c r="F32" s="208"/>
      <c r="G32" s="208"/>
      <c r="H32" s="208"/>
      <c r="I32" s="208"/>
      <c r="J32" s="209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223"/>
      <c r="B33" s="207"/>
      <c r="C33" s="208"/>
      <c r="D33" s="208"/>
      <c r="E33" s="208"/>
      <c r="F33" s="208"/>
      <c r="G33" s="208"/>
      <c r="H33" s="208"/>
      <c r="I33" s="208"/>
      <c r="J33" s="209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224"/>
      <c r="B34" s="207"/>
      <c r="C34" s="248"/>
      <c r="D34" s="248"/>
      <c r="E34" s="248"/>
      <c r="F34" s="248"/>
      <c r="G34" s="248"/>
      <c r="H34" s="248"/>
      <c r="I34" s="248"/>
      <c r="J34" s="249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216" t="s">
        <v>483</v>
      </c>
      <c r="B35" s="87" t="s">
        <v>473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217"/>
      <c r="B36" s="85" t="s">
        <v>484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217"/>
      <c r="B37" s="10" t="s">
        <v>485</v>
      </c>
      <c r="C37" s="158" t="s">
        <v>902</v>
      </c>
      <c r="D37" s="158" t="s">
        <v>902</v>
      </c>
      <c r="E37" s="158" t="s">
        <v>902</v>
      </c>
      <c r="F37" s="158" t="s">
        <v>902</v>
      </c>
      <c r="G37" s="158" t="s">
        <v>902</v>
      </c>
      <c r="H37" s="158" t="s">
        <v>902</v>
      </c>
      <c r="I37" s="158" t="s">
        <v>902</v>
      </c>
      <c r="J37" s="158" t="s">
        <v>902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217"/>
      <c r="B38" s="11" t="s">
        <v>453</v>
      </c>
      <c r="C38" s="159" t="s">
        <v>902</v>
      </c>
      <c r="D38" s="170" t="s">
        <v>902</v>
      </c>
      <c r="E38" s="170" t="s">
        <v>902</v>
      </c>
      <c r="F38" s="170" t="s">
        <v>902</v>
      </c>
      <c r="G38" s="159" t="s">
        <v>902</v>
      </c>
      <c r="H38" s="159" t="s">
        <v>902</v>
      </c>
      <c r="I38" s="159" t="s">
        <v>902</v>
      </c>
      <c r="J38" s="159" t="s">
        <v>902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217"/>
      <c r="B39" s="11" t="s">
        <v>454</v>
      </c>
      <c r="C39" s="170" t="s">
        <v>902</v>
      </c>
      <c r="D39" s="170" t="s">
        <v>902</v>
      </c>
      <c r="E39" s="170" t="s">
        <v>902</v>
      </c>
      <c r="F39" s="170" t="s">
        <v>902</v>
      </c>
      <c r="G39" s="170" t="s">
        <v>902</v>
      </c>
      <c r="H39" s="159" t="s">
        <v>902</v>
      </c>
      <c r="I39" s="159" t="s">
        <v>902</v>
      </c>
      <c r="J39" s="159" t="s">
        <v>902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217"/>
      <c r="B40" s="11" t="s">
        <v>455</v>
      </c>
      <c r="C40" s="170" t="s">
        <v>902</v>
      </c>
      <c r="D40" s="170" t="s">
        <v>902</v>
      </c>
      <c r="E40" s="170" t="s">
        <v>902</v>
      </c>
      <c r="F40" s="170" t="s">
        <v>902</v>
      </c>
      <c r="G40" s="170" t="s">
        <v>902</v>
      </c>
      <c r="H40" s="159" t="s">
        <v>902</v>
      </c>
      <c r="I40" s="159" t="s">
        <v>902</v>
      </c>
      <c r="J40" s="159" t="s">
        <v>902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217"/>
      <c r="B41" s="11" t="s">
        <v>456</v>
      </c>
      <c r="C41" s="170" t="s">
        <v>902</v>
      </c>
      <c r="D41" s="170" t="s">
        <v>902</v>
      </c>
      <c r="E41" s="170" t="s">
        <v>902</v>
      </c>
      <c r="F41" s="170" t="s">
        <v>902</v>
      </c>
      <c r="G41" s="170" t="s">
        <v>902</v>
      </c>
      <c r="H41" s="159" t="s">
        <v>902</v>
      </c>
      <c r="I41" s="159" t="s">
        <v>902</v>
      </c>
      <c r="J41" s="159" t="s">
        <v>902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217"/>
      <c r="B42" s="11" t="s">
        <v>486</v>
      </c>
      <c r="C42" s="170" t="s">
        <v>902</v>
      </c>
      <c r="D42" s="170" t="s">
        <v>902</v>
      </c>
      <c r="E42" s="170" t="s">
        <v>902</v>
      </c>
      <c r="F42" s="170" t="s">
        <v>902</v>
      </c>
      <c r="G42" s="170" t="s">
        <v>902</v>
      </c>
      <c r="H42" s="159" t="s">
        <v>902</v>
      </c>
      <c r="I42" s="159" t="s">
        <v>902</v>
      </c>
      <c r="J42" s="159" t="s">
        <v>902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217"/>
      <c r="B43" s="11" t="s">
        <v>897</v>
      </c>
      <c r="C43" s="170" t="s">
        <v>902</v>
      </c>
      <c r="D43" s="170" t="s">
        <v>902</v>
      </c>
      <c r="E43" s="170" t="s">
        <v>902</v>
      </c>
      <c r="F43" s="170" t="s">
        <v>902</v>
      </c>
      <c r="G43" s="170" t="s">
        <v>902</v>
      </c>
      <c r="H43" s="159" t="s">
        <v>902</v>
      </c>
      <c r="I43" s="159" t="s">
        <v>902</v>
      </c>
      <c r="J43" s="159" t="s">
        <v>902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217"/>
      <c r="B44" s="11" t="s">
        <v>898</v>
      </c>
      <c r="C44" s="170" t="s">
        <v>902</v>
      </c>
      <c r="D44" s="170" t="s">
        <v>902</v>
      </c>
      <c r="E44" s="170" t="s">
        <v>902</v>
      </c>
      <c r="F44" s="170" t="s">
        <v>902</v>
      </c>
      <c r="G44" s="170" t="s">
        <v>902</v>
      </c>
      <c r="H44" s="159" t="s">
        <v>902</v>
      </c>
      <c r="I44" s="159" t="s">
        <v>902</v>
      </c>
      <c r="J44" s="159" t="s">
        <v>902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217"/>
      <c r="B45" s="11" t="s">
        <v>896</v>
      </c>
      <c r="C45" s="170" t="s">
        <v>902</v>
      </c>
      <c r="D45" s="170" t="s">
        <v>902</v>
      </c>
      <c r="E45" s="170" t="s">
        <v>902</v>
      </c>
      <c r="F45" s="170" t="s">
        <v>902</v>
      </c>
      <c r="G45" s="170" t="s">
        <v>902</v>
      </c>
      <c r="H45" s="159" t="s">
        <v>902</v>
      </c>
      <c r="I45" s="159" t="s">
        <v>902</v>
      </c>
      <c r="J45" s="159" t="s">
        <v>902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217"/>
      <c r="B46" s="11" t="s">
        <v>488</v>
      </c>
      <c r="C46" s="170" t="s">
        <v>902</v>
      </c>
      <c r="D46" s="170" t="s">
        <v>902</v>
      </c>
      <c r="E46" s="170" t="s">
        <v>902</v>
      </c>
      <c r="F46" s="159" t="s">
        <v>902</v>
      </c>
      <c r="G46" s="159" t="s">
        <v>902</v>
      </c>
      <c r="H46" s="159" t="s">
        <v>902</v>
      </c>
      <c r="I46" s="159" t="s">
        <v>902</v>
      </c>
      <c r="J46" s="159" t="s">
        <v>902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217"/>
      <c r="B47" s="11" t="s">
        <v>489</v>
      </c>
      <c r="C47" s="170" t="s">
        <v>902</v>
      </c>
      <c r="D47" s="170" t="s">
        <v>902</v>
      </c>
      <c r="E47" s="170" t="s">
        <v>902</v>
      </c>
      <c r="F47" s="159" t="s">
        <v>902</v>
      </c>
      <c r="G47" s="159" t="s">
        <v>902</v>
      </c>
      <c r="H47" s="159" t="s">
        <v>902</v>
      </c>
      <c r="I47" s="159" t="s">
        <v>902</v>
      </c>
      <c r="J47" s="159" t="s">
        <v>902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217"/>
      <c r="B48" s="11" t="s">
        <v>490</v>
      </c>
      <c r="C48" s="159" t="s">
        <v>902</v>
      </c>
      <c r="D48" s="170" t="s">
        <v>902</v>
      </c>
      <c r="E48" s="170" t="s">
        <v>902</v>
      </c>
      <c r="F48" s="159" t="s">
        <v>902</v>
      </c>
      <c r="G48" s="159" t="s">
        <v>902</v>
      </c>
      <c r="H48" s="159" t="s">
        <v>902</v>
      </c>
      <c r="I48" s="159" t="s">
        <v>902</v>
      </c>
      <c r="J48" s="159" t="s">
        <v>902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217"/>
      <c r="B49" s="11" t="s">
        <v>487</v>
      </c>
      <c r="C49" s="159" t="s">
        <v>902</v>
      </c>
      <c r="D49" s="170" t="s">
        <v>902</v>
      </c>
      <c r="E49" s="170" t="s">
        <v>902</v>
      </c>
      <c r="F49" s="159" t="s">
        <v>902</v>
      </c>
      <c r="G49" s="159" t="s">
        <v>902</v>
      </c>
      <c r="H49" s="159" t="s">
        <v>902</v>
      </c>
      <c r="I49" s="159" t="s">
        <v>902</v>
      </c>
      <c r="J49" s="159" t="s">
        <v>902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217"/>
      <c r="B50" s="11" t="s">
        <v>491</v>
      </c>
      <c r="C50" s="159" t="s">
        <v>902</v>
      </c>
      <c r="D50" s="170" t="s">
        <v>902</v>
      </c>
      <c r="E50" s="170" t="s">
        <v>902</v>
      </c>
      <c r="F50" s="170" t="s">
        <v>902</v>
      </c>
      <c r="G50" s="159" t="s">
        <v>902</v>
      </c>
      <c r="H50" s="159" t="s">
        <v>902</v>
      </c>
      <c r="I50" s="159" t="s">
        <v>902</v>
      </c>
      <c r="J50" s="159" t="s">
        <v>902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217"/>
      <c r="B51" s="11" t="s">
        <v>955</v>
      </c>
      <c r="C51" s="159" t="s">
        <v>902</v>
      </c>
      <c r="D51" s="170" t="s">
        <v>902</v>
      </c>
      <c r="E51" s="170" t="s">
        <v>902</v>
      </c>
      <c r="F51" s="170" t="s">
        <v>902</v>
      </c>
      <c r="G51" s="159" t="s">
        <v>902</v>
      </c>
      <c r="H51" s="159" t="s">
        <v>902</v>
      </c>
      <c r="I51" s="159" t="s">
        <v>902</v>
      </c>
      <c r="J51" s="159" t="s">
        <v>902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217"/>
      <c r="B52" s="11" t="s">
        <v>956</v>
      </c>
      <c r="C52" s="159" t="s">
        <v>902</v>
      </c>
      <c r="D52" s="170" t="s">
        <v>902</v>
      </c>
      <c r="E52" s="170" t="s">
        <v>902</v>
      </c>
      <c r="F52" s="159" t="s">
        <v>902</v>
      </c>
      <c r="G52" s="159" t="s">
        <v>902</v>
      </c>
      <c r="H52" s="159" t="s">
        <v>902</v>
      </c>
      <c r="I52" s="159" t="s">
        <v>902</v>
      </c>
      <c r="J52" s="159" t="s">
        <v>902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217"/>
      <c r="B53" s="11" t="s">
        <v>492</v>
      </c>
      <c r="C53" s="159" t="s">
        <v>902</v>
      </c>
      <c r="D53" s="170" t="s">
        <v>902</v>
      </c>
      <c r="E53" s="170" t="s">
        <v>902</v>
      </c>
      <c r="F53" s="159" t="s">
        <v>902</v>
      </c>
      <c r="G53" s="159" t="s">
        <v>902</v>
      </c>
      <c r="H53" s="159" t="s">
        <v>902</v>
      </c>
      <c r="I53" s="159" t="s">
        <v>902</v>
      </c>
      <c r="J53" s="159" t="s">
        <v>902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217"/>
      <c r="B54" s="11" t="s">
        <v>493</v>
      </c>
      <c r="C54" s="159" t="s">
        <v>902</v>
      </c>
      <c r="D54" s="170" t="s">
        <v>902</v>
      </c>
      <c r="E54" s="170" t="s">
        <v>902</v>
      </c>
      <c r="F54" s="159" t="s">
        <v>902</v>
      </c>
      <c r="G54" s="159" t="s">
        <v>902</v>
      </c>
      <c r="H54" s="159" t="s">
        <v>902</v>
      </c>
      <c r="I54" s="159" t="s">
        <v>902</v>
      </c>
      <c r="J54" s="159" t="s">
        <v>902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217"/>
      <c r="B55" s="11" t="s">
        <v>494</v>
      </c>
      <c r="C55" s="159" t="s">
        <v>902</v>
      </c>
      <c r="D55" s="170" t="s">
        <v>902</v>
      </c>
      <c r="E55" s="170" t="s">
        <v>902</v>
      </c>
      <c r="F55" s="159" t="s">
        <v>902</v>
      </c>
      <c r="G55" s="159" t="s">
        <v>902</v>
      </c>
      <c r="H55" s="159" t="s">
        <v>902</v>
      </c>
      <c r="I55" s="159" t="s">
        <v>902</v>
      </c>
      <c r="J55" s="159" t="s">
        <v>902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217"/>
      <c r="B56" s="11" t="s">
        <v>495</v>
      </c>
      <c r="C56" s="159" t="s">
        <v>902</v>
      </c>
      <c r="D56" s="159" t="s">
        <v>902</v>
      </c>
      <c r="E56" s="159" t="s">
        <v>902</v>
      </c>
      <c r="F56" s="159" t="s">
        <v>902</v>
      </c>
      <c r="G56" s="159" t="s">
        <v>902</v>
      </c>
      <c r="H56" s="159" t="s">
        <v>902</v>
      </c>
      <c r="I56" s="159" t="s">
        <v>902</v>
      </c>
      <c r="J56" s="159" t="s">
        <v>902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217"/>
      <c r="B57" s="11" t="s">
        <v>457</v>
      </c>
      <c r="C57" s="159" t="s">
        <v>902</v>
      </c>
      <c r="D57" s="159" t="s">
        <v>902</v>
      </c>
      <c r="E57" s="159" t="s">
        <v>902</v>
      </c>
      <c r="F57" s="159" t="s">
        <v>902</v>
      </c>
      <c r="G57" s="159" t="s">
        <v>902</v>
      </c>
      <c r="H57" s="159" t="s">
        <v>902</v>
      </c>
      <c r="I57" s="159" t="s">
        <v>902</v>
      </c>
      <c r="J57" s="159" t="s">
        <v>902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217"/>
      <c r="B58" s="73" t="s">
        <v>943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218"/>
      <c r="B59" s="219" t="s">
        <v>459</v>
      </c>
      <c r="C59" s="220"/>
      <c r="D59" s="220"/>
      <c r="E59" s="220"/>
      <c r="F59" s="220"/>
      <c r="G59" s="220"/>
      <c r="H59" s="220"/>
      <c r="I59" s="220"/>
      <c r="J59" s="221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218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968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967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951</v>
      </c>
      <c r="C65" s="172" t="s">
        <v>902</v>
      </c>
      <c r="D65" s="172" t="s">
        <v>902</v>
      </c>
      <c r="E65" s="172" t="s">
        <v>902</v>
      </c>
      <c r="F65" s="172" t="s">
        <v>902</v>
      </c>
      <c r="G65" s="110" t="s">
        <v>902</v>
      </c>
      <c r="H65" s="110" t="s">
        <v>902</v>
      </c>
      <c r="I65" s="110" t="s">
        <v>902</v>
      </c>
      <c r="J65" s="110" t="s">
        <v>902</v>
      </c>
    </row>
    <row r="66" spans="2:10" ht="31.5" customHeight="1">
      <c r="B66" s="77" t="s">
        <v>945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952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953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950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944</v>
      </c>
      <c r="C71" s="173" t="s">
        <v>957</v>
      </c>
      <c r="D71" s="173" t="s">
        <v>957</v>
      </c>
      <c r="E71" s="173" t="s">
        <v>957</v>
      </c>
      <c r="F71" s="173" t="s">
        <v>957</v>
      </c>
      <c r="G71" s="111" t="s">
        <v>957</v>
      </c>
      <c r="H71" s="111" t="s">
        <v>957</v>
      </c>
      <c r="I71" s="111" t="s">
        <v>957</v>
      </c>
      <c r="J71" s="112" t="s">
        <v>957</v>
      </c>
    </row>
    <row r="72" spans="2:10" ht="30.75" customHeight="1" thickBot="1">
      <c r="B72" s="89" t="s">
        <v>946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945</v>
      </c>
      <c r="C73" s="172" t="s">
        <v>902</v>
      </c>
      <c r="D73" s="172" t="s">
        <v>902</v>
      </c>
      <c r="E73" s="172" t="s">
        <v>902</v>
      </c>
      <c r="F73" s="172" t="s">
        <v>902</v>
      </c>
      <c r="G73" s="110" t="s">
        <v>902</v>
      </c>
      <c r="H73" s="110" t="s">
        <v>902</v>
      </c>
      <c r="I73" s="110" t="s">
        <v>902</v>
      </c>
      <c r="J73" s="113" t="s">
        <v>902</v>
      </c>
    </row>
    <row r="74" spans="2:10" ht="30.75" customHeight="1">
      <c r="B74" s="77" t="s">
        <v>947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948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949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950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964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965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963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962</v>
      </c>
      <c r="C83" s="171" t="s">
        <v>902</v>
      </c>
      <c r="D83" s="171" t="s">
        <v>902</v>
      </c>
      <c r="E83" s="171" t="s">
        <v>902</v>
      </c>
      <c r="F83" s="171" t="s">
        <v>902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961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966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900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899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  <mergeCell ref="B31:J31"/>
    <mergeCell ref="B32:J32"/>
    <mergeCell ref="B33:J33"/>
    <mergeCell ref="AC1:AD1"/>
    <mergeCell ref="C10:J10"/>
    <mergeCell ref="B11:J11"/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472</v>
      </c>
      <c r="B1" s="22" t="s">
        <v>470</v>
      </c>
      <c r="C1" s="22" t="s">
        <v>520</v>
      </c>
      <c r="D1" s="22" t="s">
        <v>482</v>
      </c>
      <c r="E1" s="22" t="s">
        <v>521</v>
      </c>
      <c r="F1" s="22" t="s">
        <v>460</v>
      </c>
      <c r="G1" s="22" t="s">
        <v>452</v>
      </c>
      <c r="H1" s="22" t="s">
        <v>525</v>
      </c>
      <c r="I1" s="22" t="s">
        <v>526</v>
      </c>
      <c r="J1" s="22" t="s">
        <v>503</v>
      </c>
      <c r="L1" s="27"/>
    </row>
    <row r="2" spans="1:12">
      <c r="A2" s="23" t="s">
        <v>1057</v>
      </c>
      <c r="B2" s="23" t="s">
        <v>1128</v>
      </c>
      <c r="C2" s="23" t="s">
        <v>1285</v>
      </c>
      <c r="D2" s="23" t="s">
        <v>1233</v>
      </c>
      <c r="E2" s="23" t="s">
        <v>1238</v>
      </c>
      <c r="F2" s="23" t="s">
        <v>1242</v>
      </c>
      <c r="G2" s="23" t="s">
        <v>1255</v>
      </c>
      <c r="H2" s="23">
        <v>1</v>
      </c>
      <c r="I2" s="23" t="s">
        <v>1281</v>
      </c>
      <c r="J2" s="23" t="s">
        <v>504</v>
      </c>
    </row>
    <row r="3" spans="1:12">
      <c r="A3" s="23" t="s">
        <v>1058</v>
      </c>
      <c r="B3" s="23" t="s">
        <v>1129</v>
      </c>
      <c r="C3" s="23" t="s">
        <v>1285</v>
      </c>
      <c r="D3" s="23" t="s">
        <v>1234</v>
      </c>
      <c r="E3" s="23" t="s">
        <v>1239</v>
      </c>
      <c r="F3" s="23" t="s">
        <v>1243</v>
      </c>
      <c r="G3" s="23" t="s">
        <v>1256</v>
      </c>
      <c r="H3" s="23">
        <v>2</v>
      </c>
      <c r="I3" s="23" t="s">
        <v>1282</v>
      </c>
      <c r="J3" s="23" t="s">
        <v>505</v>
      </c>
    </row>
    <row r="4" spans="1:12">
      <c r="A4" s="23" t="s">
        <v>1059</v>
      </c>
      <c r="B4" s="23" t="s">
        <v>1130</v>
      </c>
      <c r="C4" s="23" t="s">
        <v>1286</v>
      </c>
      <c r="D4" s="23" t="s">
        <v>1235</v>
      </c>
      <c r="E4" s="23" t="s">
        <v>1240</v>
      </c>
      <c r="F4" s="23" t="s">
        <v>1244</v>
      </c>
      <c r="G4" s="23" t="s">
        <v>1257</v>
      </c>
      <c r="H4" s="23">
        <v>4</v>
      </c>
      <c r="I4" s="23" t="s">
        <v>1283</v>
      </c>
      <c r="J4" s="23" t="s">
        <v>506</v>
      </c>
    </row>
    <row r="5" spans="1:12">
      <c r="A5" s="23" t="s">
        <v>1060</v>
      </c>
      <c r="B5" s="23" t="s">
        <v>1131</v>
      </c>
      <c r="C5" s="23" t="s">
        <v>1286</v>
      </c>
      <c r="D5" s="23" t="s">
        <v>1236</v>
      </c>
      <c r="E5" s="23" t="s">
        <v>1241</v>
      </c>
      <c r="F5" s="23" t="s">
        <v>1245</v>
      </c>
      <c r="G5" s="23" t="s">
        <v>1258</v>
      </c>
      <c r="H5" s="23">
        <v>8</v>
      </c>
      <c r="I5" s="23" t="s">
        <v>1284</v>
      </c>
      <c r="J5" s="23" t="s">
        <v>446</v>
      </c>
    </row>
    <row r="6" spans="1:12">
      <c r="A6" s="23" t="s">
        <v>1061</v>
      </c>
      <c r="B6" s="23" t="s">
        <v>1132</v>
      </c>
      <c r="C6" s="23" t="s">
        <v>1287</v>
      </c>
      <c r="D6" s="23" t="s">
        <v>1237</v>
      </c>
      <c r="E6" s="23"/>
      <c r="F6" s="23" t="s">
        <v>1246</v>
      </c>
      <c r="G6" s="23" t="s">
        <v>1259</v>
      </c>
      <c r="H6" s="23">
        <v>12</v>
      </c>
      <c r="I6" s="23" t="s">
        <v>442</v>
      </c>
      <c r="J6" s="23"/>
    </row>
    <row r="7" spans="1:12">
      <c r="A7" s="23" t="s">
        <v>1062</v>
      </c>
      <c r="B7" s="23" t="s">
        <v>1133</v>
      </c>
      <c r="C7" s="23" t="s">
        <v>1287</v>
      </c>
      <c r="D7" s="23"/>
      <c r="E7" s="23"/>
      <c r="F7" s="23" t="s">
        <v>1247</v>
      </c>
      <c r="G7" s="23" t="s">
        <v>1260</v>
      </c>
      <c r="H7" s="23">
        <v>16</v>
      </c>
      <c r="I7" s="23" t="s">
        <v>443</v>
      </c>
      <c r="J7" s="23"/>
    </row>
    <row r="8" spans="1:12">
      <c r="A8" s="23" t="s">
        <v>1063</v>
      </c>
      <c r="B8" s="23" t="s">
        <v>1134</v>
      </c>
      <c r="C8" s="23" t="s">
        <v>1288</v>
      </c>
      <c r="D8" s="23"/>
      <c r="E8" s="23"/>
      <c r="F8" s="23" t="s">
        <v>1248</v>
      </c>
      <c r="G8" s="23" t="s">
        <v>1261</v>
      </c>
      <c r="H8" s="23">
        <v>20</v>
      </c>
      <c r="I8" s="23" t="s">
        <v>444</v>
      </c>
      <c r="J8" s="23"/>
    </row>
    <row r="9" spans="1:12">
      <c r="A9" s="23" t="s">
        <v>1064</v>
      </c>
      <c r="B9" s="23" t="s">
        <v>1135</v>
      </c>
      <c r="C9" s="23" t="s">
        <v>1288</v>
      </c>
      <c r="D9" s="23"/>
      <c r="E9" s="23"/>
      <c r="F9" s="23" t="s">
        <v>1249</v>
      </c>
      <c r="G9" s="23" t="s">
        <v>1262</v>
      </c>
      <c r="H9" s="23">
        <v>24</v>
      </c>
      <c r="I9" s="23" t="s">
        <v>445</v>
      </c>
      <c r="J9" s="23"/>
    </row>
    <row r="10" spans="1:12">
      <c r="A10" s="23" t="s">
        <v>1065</v>
      </c>
      <c r="B10" s="23" t="s">
        <v>1136</v>
      </c>
      <c r="C10" s="23" t="s">
        <v>1289</v>
      </c>
      <c r="D10" s="23"/>
      <c r="E10" s="23"/>
      <c r="F10" s="23" t="s">
        <v>1250</v>
      </c>
      <c r="G10" s="23" t="s">
        <v>1263</v>
      </c>
      <c r="H10" s="23">
        <v>28</v>
      </c>
      <c r="I10" s="23"/>
      <c r="J10" s="23"/>
    </row>
    <row r="11" spans="1:12">
      <c r="A11" s="23" t="s">
        <v>1066</v>
      </c>
      <c r="B11" s="23" t="s">
        <v>1137</v>
      </c>
      <c r="C11" s="23" t="s">
        <v>1289</v>
      </c>
      <c r="D11" s="23"/>
      <c r="E11" s="23"/>
      <c r="F11" s="23" t="s">
        <v>1251</v>
      </c>
      <c r="G11" s="23" t="s">
        <v>1264</v>
      </c>
      <c r="H11" s="23">
        <v>32</v>
      </c>
      <c r="I11" s="23"/>
      <c r="J11" s="23"/>
    </row>
    <row r="12" spans="1:12">
      <c r="A12" s="23" t="s">
        <v>1067</v>
      </c>
      <c r="B12" s="23" t="s">
        <v>1138</v>
      </c>
      <c r="C12" s="23" t="s">
        <v>1290</v>
      </c>
      <c r="D12" s="23"/>
      <c r="E12" s="23"/>
      <c r="F12" s="23" t="s">
        <v>1252</v>
      </c>
      <c r="G12" s="23" t="s">
        <v>1265</v>
      </c>
      <c r="H12" s="23">
        <v>36</v>
      </c>
      <c r="I12" s="23"/>
      <c r="J12" s="23"/>
    </row>
    <row r="13" spans="1:12">
      <c r="A13" s="23" t="s">
        <v>1068</v>
      </c>
      <c r="B13" s="23" t="s">
        <v>1139</v>
      </c>
      <c r="C13" s="23" t="s">
        <v>1290</v>
      </c>
      <c r="D13" s="23"/>
      <c r="E13" s="23"/>
      <c r="F13" s="23" t="s">
        <v>1252</v>
      </c>
      <c r="G13" s="23" t="s">
        <v>1266</v>
      </c>
      <c r="H13" s="23">
        <v>40</v>
      </c>
      <c r="I13" s="23"/>
      <c r="J13" s="23"/>
    </row>
    <row r="14" spans="1:12">
      <c r="A14" s="23" t="s">
        <v>1069</v>
      </c>
      <c r="B14" s="23" t="s">
        <v>1140</v>
      </c>
      <c r="C14" s="23" t="s">
        <v>1291</v>
      </c>
      <c r="D14" s="23"/>
      <c r="E14" s="23"/>
      <c r="F14" s="23" t="s">
        <v>1253</v>
      </c>
      <c r="G14" s="23" t="s">
        <v>1267</v>
      </c>
      <c r="H14" s="23">
        <v>44</v>
      </c>
      <c r="I14" s="23"/>
      <c r="J14" s="23"/>
    </row>
    <row r="15" spans="1:12">
      <c r="A15" s="23" t="s">
        <v>1070</v>
      </c>
      <c r="B15" s="23" t="s">
        <v>1141</v>
      </c>
      <c r="C15" s="23" t="s">
        <v>1291</v>
      </c>
      <c r="D15" s="23"/>
      <c r="E15" s="23"/>
      <c r="F15" s="23" t="s">
        <v>1254</v>
      </c>
      <c r="G15" s="23" t="s">
        <v>1268</v>
      </c>
      <c r="H15" s="23">
        <v>48</v>
      </c>
      <c r="I15" s="23"/>
      <c r="J15" s="23"/>
    </row>
    <row r="16" spans="1:12">
      <c r="A16" s="23" t="s">
        <v>1071</v>
      </c>
      <c r="B16" s="23" t="s">
        <v>1142</v>
      </c>
      <c r="C16" s="23" t="s">
        <v>1193</v>
      </c>
      <c r="D16" s="23"/>
      <c r="E16" s="23"/>
      <c r="F16" s="23"/>
      <c r="G16" s="23" t="s">
        <v>1269</v>
      </c>
      <c r="H16" s="23">
        <v>52</v>
      </c>
      <c r="I16" s="23"/>
      <c r="J16" s="23"/>
    </row>
    <row r="17" spans="1:10">
      <c r="A17" s="23" t="s">
        <v>1072</v>
      </c>
      <c r="B17" s="23" t="s">
        <v>1143</v>
      </c>
      <c r="C17" s="23" t="s">
        <v>1194</v>
      </c>
      <c r="D17" s="23"/>
      <c r="E17" s="23"/>
      <c r="F17" s="23"/>
      <c r="G17" s="23" t="s">
        <v>1270</v>
      </c>
      <c r="H17" s="23">
        <v>56</v>
      </c>
      <c r="I17" s="23"/>
      <c r="J17" s="23"/>
    </row>
    <row r="18" spans="1:10">
      <c r="A18" s="23" t="s">
        <v>1073</v>
      </c>
      <c r="B18" s="23" t="s">
        <v>1144</v>
      </c>
      <c r="C18" s="23" t="s">
        <v>1195</v>
      </c>
      <c r="D18" s="23"/>
      <c r="E18" s="23"/>
      <c r="F18" s="23"/>
      <c r="G18" s="23" t="s">
        <v>1271</v>
      </c>
      <c r="H18" s="23">
        <v>60</v>
      </c>
      <c r="I18" s="23"/>
      <c r="J18" s="23"/>
    </row>
    <row r="19" spans="1:10">
      <c r="A19" s="23" t="s">
        <v>1074</v>
      </c>
      <c r="B19" s="23" t="s">
        <v>1145</v>
      </c>
      <c r="C19" s="23" t="s">
        <v>1196</v>
      </c>
      <c r="D19" s="23"/>
      <c r="E19" s="23"/>
      <c r="F19" s="23"/>
      <c r="G19" s="23" t="s">
        <v>1272</v>
      </c>
      <c r="H19" s="23">
        <v>64</v>
      </c>
      <c r="I19" s="23"/>
      <c r="J19" s="23"/>
    </row>
    <row r="20" spans="1:10">
      <c r="A20" s="23" t="s">
        <v>1075</v>
      </c>
      <c r="B20" s="23" t="s">
        <v>1146</v>
      </c>
      <c r="C20" s="24" t="s">
        <v>1197</v>
      </c>
      <c r="D20" s="23"/>
      <c r="E20" s="23"/>
      <c r="F20" s="23"/>
      <c r="G20" s="23" t="s">
        <v>1252</v>
      </c>
      <c r="H20" s="23">
        <v>68</v>
      </c>
      <c r="I20" s="23"/>
      <c r="J20" s="23"/>
    </row>
    <row r="21" spans="1:10">
      <c r="A21" s="23" t="s">
        <v>1076</v>
      </c>
      <c r="B21" s="23" t="s">
        <v>1147</v>
      </c>
      <c r="C21" s="24" t="s">
        <v>1198</v>
      </c>
      <c r="D21" s="23"/>
      <c r="E21" s="23"/>
      <c r="F21" s="23"/>
      <c r="G21" s="23" t="s">
        <v>1273</v>
      </c>
      <c r="H21" s="23">
        <v>72</v>
      </c>
      <c r="I21" s="23"/>
      <c r="J21" s="23"/>
    </row>
    <row r="22" spans="1:10">
      <c r="A22" s="23" t="s">
        <v>1077</v>
      </c>
      <c r="B22" s="24" t="s">
        <v>1148</v>
      </c>
      <c r="C22" s="24" t="s">
        <v>1199</v>
      </c>
      <c r="G22" s="24" t="s">
        <v>1274</v>
      </c>
      <c r="H22" s="24">
        <v>76</v>
      </c>
    </row>
    <row r="23" spans="1:10">
      <c r="A23" s="23" t="s">
        <v>1078</v>
      </c>
      <c r="B23" s="24" t="s">
        <v>1149</v>
      </c>
      <c r="C23" s="24" t="s">
        <v>1200</v>
      </c>
      <c r="G23" s="24" t="s">
        <v>1275</v>
      </c>
      <c r="H23" s="24">
        <v>80</v>
      </c>
    </row>
    <row r="24" spans="1:10">
      <c r="A24" s="23" t="s">
        <v>1079</v>
      </c>
      <c r="B24" s="24" t="s">
        <v>1150</v>
      </c>
      <c r="C24" s="24" t="s">
        <v>1201</v>
      </c>
      <c r="G24" s="24" t="s">
        <v>1276</v>
      </c>
      <c r="H24" s="24">
        <v>84</v>
      </c>
    </row>
    <row r="25" spans="1:10">
      <c r="A25" s="23" t="s">
        <v>1080</v>
      </c>
      <c r="B25" s="24" t="s">
        <v>1151</v>
      </c>
      <c r="C25" s="24" t="s">
        <v>1202</v>
      </c>
      <c r="G25" s="24" t="s">
        <v>1277</v>
      </c>
      <c r="H25" s="24">
        <v>88</v>
      </c>
    </row>
    <row r="26" spans="1:10">
      <c r="A26" s="23" t="s">
        <v>1081</v>
      </c>
      <c r="B26" s="24" t="s">
        <v>1152</v>
      </c>
      <c r="C26" s="24" t="s">
        <v>1203</v>
      </c>
      <c r="G26" s="24" t="s">
        <v>1278</v>
      </c>
      <c r="H26" s="24">
        <v>92</v>
      </c>
    </row>
    <row r="27" spans="1:10">
      <c r="A27" s="23" t="s">
        <v>1082</v>
      </c>
      <c r="B27" s="24" t="s">
        <v>1153</v>
      </c>
      <c r="C27" s="24" t="s">
        <v>1204</v>
      </c>
      <c r="G27" s="24" t="s">
        <v>1279</v>
      </c>
      <c r="H27" s="24">
        <v>96</v>
      </c>
    </row>
    <row r="28" spans="1:10">
      <c r="A28" s="23" t="s">
        <v>1083</v>
      </c>
      <c r="B28" s="24" t="s">
        <v>1154</v>
      </c>
      <c r="C28" s="24" t="s">
        <v>1205</v>
      </c>
      <c r="G28" s="24" t="s">
        <v>1280</v>
      </c>
      <c r="H28" s="24">
        <v>100</v>
      </c>
    </row>
    <row r="29" spans="1:10">
      <c r="A29" s="23" t="s">
        <v>1084</v>
      </c>
      <c r="B29" s="24" t="s">
        <v>1155</v>
      </c>
      <c r="C29" s="24" t="s">
        <v>1206</v>
      </c>
      <c r="G29" s="24" t="s">
        <v>429</v>
      </c>
    </row>
    <row r="30" spans="1:10">
      <c r="A30" s="23" t="s">
        <v>1085</v>
      </c>
      <c r="B30" s="24" t="s">
        <v>1156</v>
      </c>
      <c r="C30" s="24" t="s">
        <v>1207</v>
      </c>
      <c r="G30" s="24" t="s">
        <v>430</v>
      </c>
    </row>
    <row r="31" spans="1:10">
      <c r="A31" s="23" t="s">
        <v>1086</v>
      </c>
      <c r="B31" s="24" t="s">
        <v>1157</v>
      </c>
      <c r="C31" s="23" t="s">
        <v>1208</v>
      </c>
      <c r="G31" s="24" t="s">
        <v>431</v>
      </c>
    </row>
    <row r="32" spans="1:10">
      <c r="A32" s="23" t="s">
        <v>1087</v>
      </c>
      <c r="B32" s="24" t="s">
        <v>1158</v>
      </c>
      <c r="C32" s="23" t="s">
        <v>1209</v>
      </c>
      <c r="G32" s="24" t="s">
        <v>432</v>
      </c>
    </row>
    <row r="33" spans="1:10">
      <c r="A33" s="23" t="s">
        <v>1088</v>
      </c>
      <c r="B33" s="23" t="s">
        <v>1159</v>
      </c>
      <c r="C33" s="23" t="s">
        <v>1210</v>
      </c>
      <c r="D33" s="23"/>
      <c r="E33" s="23"/>
      <c r="F33" s="23"/>
      <c r="G33" s="23" t="s">
        <v>433</v>
      </c>
      <c r="H33" s="23"/>
      <c r="I33" s="23"/>
      <c r="J33" s="23"/>
    </row>
    <row r="34" spans="1:10">
      <c r="A34" s="23" t="s">
        <v>1089</v>
      </c>
      <c r="B34" s="23" t="s">
        <v>1160</v>
      </c>
      <c r="C34" s="23" t="s">
        <v>1211</v>
      </c>
      <c r="D34" s="23"/>
      <c r="E34" s="23"/>
      <c r="F34" s="23"/>
      <c r="G34" s="23" t="s">
        <v>434</v>
      </c>
      <c r="H34" s="23"/>
      <c r="I34" s="23"/>
      <c r="J34" s="23"/>
    </row>
    <row r="35" spans="1:10">
      <c r="A35" s="23" t="s">
        <v>1090</v>
      </c>
      <c r="B35" s="23" t="s">
        <v>1161</v>
      </c>
      <c r="C35" s="23" t="s">
        <v>1212</v>
      </c>
      <c r="D35" s="23"/>
      <c r="E35" s="23"/>
      <c r="F35" s="23"/>
      <c r="G35" s="23" t="s">
        <v>435</v>
      </c>
      <c r="H35" s="23"/>
      <c r="I35" s="23"/>
      <c r="J35" s="23"/>
    </row>
    <row r="36" spans="1:10">
      <c r="A36" s="23" t="s">
        <v>1091</v>
      </c>
      <c r="B36" s="23" t="s">
        <v>1162</v>
      </c>
      <c r="C36" s="23" t="s">
        <v>1213</v>
      </c>
      <c r="D36" s="23"/>
      <c r="E36" s="23"/>
      <c r="F36" s="23"/>
      <c r="G36" s="23" t="s">
        <v>436</v>
      </c>
      <c r="H36" s="23"/>
      <c r="I36" s="23"/>
      <c r="J36" s="23"/>
    </row>
    <row r="37" spans="1:10">
      <c r="A37" s="23" t="s">
        <v>1092</v>
      </c>
      <c r="B37" s="23" t="s">
        <v>1163</v>
      </c>
      <c r="C37" s="23" t="s">
        <v>1214</v>
      </c>
      <c r="D37" s="23"/>
      <c r="E37" s="23"/>
      <c r="F37" s="23"/>
      <c r="G37" s="23" t="s">
        <v>437</v>
      </c>
      <c r="H37" s="23"/>
      <c r="I37" s="23"/>
      <c r="J37" s="23"/>
    </row>
    <row r="38" spans="1:10">
      <c r="A38" s="23" t="s">
        <v>1093</v>
      </c>
      <c r="B38" s="23" t="s">
        <v>1164</v>
      </c>
      <c r="C38" s="23" t="s">
        <v>1215</v>
      </c>
      <c r="D38" s="23"/>
      <c r="E38" s="23"/>
      <c r="F38" s="23"/>
      <c r="G38" s="23" t="s">
        <v>438</v>
      </c>
      <c r="H38" s="23"/>
      <c r="I38" s="23"/>
      <c r="J38" s="23"/>
    </row>
    <row r="39" spans="1:10">
      <c r="A39" s="23" t="s">
        <v>1094</v>
      </c>
      <c r="B39" s="23" t="s">
        <v>1165</v>
      </c>
      <c r="C39" s="23" t="s">
        <v>1216</v>
      </c>
      <c r="D39" s="23"/>
      <c r="E39" s="23"/>
      <c r="F39" s="23"/>
      <c r="G39" s="23" t="s">
        <v>439</v>
      </c>
      <c r="H39" s="23"/>
      <c r="I39" s="23"/>
      <c r="J39" s="23"/>
    </row>
    <row r="40" spans="1:10">
      <c r="A40" s="23" t="s">
        <v>1095</v>
      </c>
      <c r="B40" s="23" t="s">
        <v>1166</v>
      </c>
      <c r="C40" s="23" t="s">
        <v>1217</v>
      </c>
      <c r="D40" s="23"/>
      <c r="E40" s="23"/>
      <c r="F40" s="23"/>
      <c r="G40" s="23" t="s">
        <v>440</v>
      </c>
      <c r="H40" s="23"/>
      <c r="I40" s="23"/>
      <c r="J40" s="23"/>
    </row>
    <row r="41" spans="1:10">
      <c r="A41" s="23" t="s">
        <v>1096</v>
      </c>
      <c r="B41" s="23" t="s">
        <v>1167</v>
      </c>
      <c r="C41" s="23" t="s">
        <v>1218</v>
      </c>
      <c r="D41" s="23"/>
      <c r="E41" s="23"/>
      <c r="F41" s="23"/>
      <c r="G41" s="23" t="s">
        <v>441</v>
      </c>
      <c r="H41" s="23"/>
      <c r="I41" s="23"/>
      <c r="J41" s="23"/>
    </row>
    <row r="42" spans="1:10">
      <c r="A42" s="23" t="s">
        <v>1097</v>
      </c>
      <c r="B42" s="23" t="s">
        <v>1168</v>
      </c>
      <c r="C42" s="23" t="s">
        <v>1219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1098</v>
      </c>
      <c r="B43" s="23" t="s">
        <v>1169</v>
      </c>
      <c r="C43" s="23" t="s">
        <v>1220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1099</v>
      </c>
      <c r="B44" s="23" t="s">
        <v>1170</v>
      </c>
      <c r="C44" s="23" t="s">
        <v>1221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1100</v>
      </c>
      <c r="B45" s="23" t="s">
        <v>1171</v>
      </c>
      <c r="C45" s="23" t="s">
        <v>1222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1101</v>
      </c>
      <c r="B46" s="23" t="s">
        <v>1172</v>
      </c>
      <c r="C46" s="23" t="s">
        <v>1223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1102</v>
      </c>
      <c r="B47" s="23" t="s">
        <v>1173</v>
      </c>
      <c r="C47" s="23" t="s">
        <v>1224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1103</v>
      </c>
      <c r="B48" s="23" t="s">
        <v>1174</v>
      </c>
      <c r="C48" s="23" t="s">
        <v>1225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1104</v>
      </c>
      <c r="B49" s="23" t="s">
        <v>1175</v>
      </c>
      <c r="C49" s="23" t="s">
        <v>1226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1105</v>
      </c>
      <c r="B50" s="23" t="s">
        <v>1176</v>
      </c>
      <c r="C50" s="23" t="s">
        <v>1227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1106</v>
      </c>
      <c r="B51" s="23" t="s">
        <v>1177</v>
      </c>
      <c r="C51" s="23" t="s">
        <v>1228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1107</v>
      </c>
      <c r="B52" s="23" t="s">
        <v>1178</v>
      </c>
      <c r="C52" s="23" t="s">
        <v>1229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1108</v>
      </c>
      <c r="B53" s="23" t="s">
        <v>1179</v>
      </c>
      <c r="C53" s="23" t="s">
        <v>1230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1109</v>
      </c>
      <c r="B54" s="23" t="s">
        <v>1180</v>
      </c>
      <c r="C54" s="23" t="s">
        <v>1231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1110</v>
      </c>
      <c r="B55" s="23" t="s">
        <v>1181</v>
      </c>
      <c r="C55" s="24" t="s">
        <v>1232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1111</v>
      </c>
      <c r="B56" s="23" t="s">
        <v>1182</v>
      </c>
      <c r="C56" s="24" t="s">
        <v>507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1112</v>
      </c>
      <c r="B57" s="24" t="s">
        <v>1183</v>
      </c>
      <c r="C57" s="24" t="s">
        <v>418</v>
      </c>
    </row>
    <row r="58" spans="1:10">
      <c r="A58" s="24" t="s">
        <v>1113</v>
      </c>
      <c r="B58" s="24" t="s">
        <v>1184</v>
      </c>
      <c r="C58" s="24" t="s">
        <v>419</v>
      </c>
    </row>
    <row r="59" spans="1:10">
      <c r="A59" s="24" t="s">
        <v>1114</v>
      </c>
      <c r="B59" s="24" t="s">
        <v>1185</v>
      </c>
      <c r="C59" s="24" t="s">
        <v>420</v>
      </c>
    </row>
    <row r="60" spans="1:10">
      <c r="A60" s="24" t="s">
        <v>1115</v>
      </c>
      <c r="B60" s="24" t="s">
        <v>1186</v>
      </c>
      <c r="C60" s="24" t="s">
        <v>421</v>
      </c>
    </row>
    <row r="61" spans="1:10">
      <c r="A61" s="24" t="s">
        <v>1116</v>
      </c>
      <c r="B61" s="24" t="s">
        <v>1187</v>
      </c>
      <c r="C61" s="24" t="s">
        <v>508</v>
      </c>
    </row>
    <row r="62" spans="1:10">
      <c r="A62" s="24" t="s">
        <v>1117</v>
      </c>
      <c r="B62" s="24" t="s">
        <v>1188</v>
      </c>
      <c r="C62" s="24" t="s">
        <v>422</v>
      </c>
    </row>
    <row r="63" spans="1:10">
      <c r="A63" s="24" t="s">
        <v>1118</v>
      </c>
      <c r="B63" s="24" t="s">
        <v>1189</v>
      </c>
      <c r="C63" s="23" t="s">
        <v>1050</v>
      </c>
    </row>
    <row r="64" spans="1:10">
      <c r="A64" s="24" t="s">
        <v>1119</v>
      </c>
      <c r="B64" s="24" t="s">
        <v>1190</v>
      </c>
      <c r="C64" s="23" t="s">
        <v>1051</v>
      </c>
    </row>
    <row r="65" spans="1:10">
      <c r="A65" s="23" t="s">
        <v>1120</v>
      </c>
      <c r="B65" s="23" t="s">
        <v>1191</v>
      </c>
      <c r="C65" s="23" t="s">
        <v>423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1121</v>
      </c>
      <c r="B66" s="23" t="s">
        <v>1192</v>
      </c>
      <c r="C66" s="24" t="s">
        <v>509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1122</v>
      </c>
      <c r="B67" s="23" t="s">
        <v>413</v>
      </c>
      <c r="C67" s="24" t="s">
        <v>510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1123</v>
      </c>
      <c r="B68" s="23" t="s">
        <v>414</v>
      </c>
      <c r="C68" s="24" t="s">
        <v>511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1124</v>
      </c>
      <c r="B69" s="24" t="s">
        <v>415</v>
      </c>
      <c r="C69" s="24" t="s">
        <v>424</v>
      </c>
    </row>
    <row r="70" spans="1:10">
      <c r="A70" s="24" t="s">
        <v>1125</v>
      </c>
      <c r="B70" s="24" t="s">
        <v>416</v>
      </c>
      <c r="C70" s="24" t="s">
        <v>512</v>
      </c>
    </row>
    <row r="71" spans="1:10">
      <c r="A71" s="24" t="s">
        <v>1126</v>
      </c>
      <c r="B71" s="24" t="s">
        <v>417</v>
      </c>
      <c r="C71" s="24" t="s">
        <v>513</v>
      </c>
    </row>
    <row r="72" spans="1:10">
      <c r="A72" s="24" t="s">
        <v>1127</v>
      </c>
      <c r="B72" s="24" t="s">
        <v>517</v>
      </c>
      <c r="C72" s="24" t="s">
        <v>514</v>
      </c>
    </row>
    <row r="73" spans="1:10">
      <c r="A73" s="24" t="s">
        <v>522</v>
      </c>
      <c r="C73" s="24" t="s">
        <v>515</v>
      </c>
    </row>
    <row r="74" spans="1:10">
      <c r="A74" s="24" t="s">
        <v>523</v>
      </c>
      <c r="C74" s="24" t="s">
        <v>516</v>
      </c>
    </row>
    <row r="75" spans="1:10">
      <c r="A75" s="24" t="s">
        <v>524</v>
      </c>
      <c r="C75" s="24" t="s">
        <v>425</v>
      </c>
    </row>
    <row r="76" spans="1:10">
      <c r="A76" s="24" t="s">
        <v>527</v>
      </c>
      <c r="C76" s="24" t="s">
        <v>426</v>
      </c>
    </row>
    <row r="77" spans="1:10">
      <c r="A77" s="24" t="s">
        <v>528</v>
      </c>
      <c r="C77" s="24" t="s">
        <v>427</v>
      </c>
    </row>
    <row r="78" spans="1:10">
      <c r="A78" s="24" t="s">
        <v>529</v>
      </c>
      <c r="C78" s="24" t="s">
        <v>518</v>
      </c>
    </row>
    <row r="79" spans="1:10">
      <c r="A79" s="24" t="s">
        <v>530</v>
      </c>
      <c r="C79" s="24" t="s">
        <v>519</v>
      </c>
    </row>
    <row r="80" spans="1:10">
      <c r="A80" s="24" t="s">
        <v>531</v>
      </c>
      <c r="C80" s="24" t="s">
        <v>428</v>
      </c>
    </row>
    <row r="81" spans="1:1">
      <c r="A81" s="24" t="s">
        <v>532</v>
      </c>
    </row>
    <row r="82" spans="1:1">
      <c r="A82" s="24" t="s">
        <v>533</v>
      </c>
    </row>
    <row r="83" spans="1:1">
      <c r="A83" s="24" t="s">
        <v>534</v>
      </c>
    </row>
    <row r="84" spans="1:1">
      <c r="A84" s="24" t="s">
        <v>535</v>
      </c>
    </row>
    <row r="85" spans="1:1">
      <c r="A85" s="24" t="s">
        <v>536</v>
      </c>
    </row>
    <row r="86" spans="1:1">
      <c r="A86" s="24" t="s">
        <v>537</v>
      </c>
    </row>
    <row r="87" spans="1:1">
      <c r="A87" s="24" t="s">
        <v>538</v>
      </c>
    </row>
    <row r="88" spans="1:1">
      <c r="A88" s="24" t="s">
        <v>539</v>
      </c>
    </row>
    <row r="89" spans="1:1">
      <c r="A89" s="24" t="s">
        <v>540</v>
      </c>
    </row>
    <row r="90" spans="1:1">
      <c r="A90" s="24" t="s">
        <v>541</v>
      </c>
    </row>
    <row r="91" spans="1:1">
      <c r="A91" s="24" t="s">
        <v>542</v>
      </c>
    </row>
    <row r="92" spans="1:1">
      <c r="A92" s="24" t="s">
        <v>543</v>
      </c>
    </row>
    <row r="93" spans="1:1">
      <c r="A93" s="24" t="s">
        <v>544</v>
      </c>
    </row>
    <row r="94" spans="1:1">
      <c r="A94" s="24" t="s">
        <v>545</v>
      </c>
    </row>
    <row r="95" spans="1:1">
      <c r="A95" s="24" t="s">
        <v>546</v>
      </c>
    </row>
    <row r="96" spans="1:1">
      <c r="A96" s="24" t="s">
        <v>547</v>
      </c>
    </row>
    <row r="97" spans="1:1">
      <c r="A97" s="24" t="s">
        <v>548</v>
      </c>
    </row>
    <row r="98" spans="1:1">
      <c r="A98" s="24" t="s">
        <v>549</v>
      </c>
    </row>
    <row r="99" spans="1:1">
      <c r="A99" s="24" t="s">
        <v>550</v>
      </c>
    </row>
    <row r="100" spans="1:1">
      <c r="A100" s="24" t="s">
        <v>551</v>
      </c>
    </row>
    <row r="101" spans="1:1">
      <c r="A101" s="24" t="s">
        <v>552</v>
      </c>
    </row>
    <row r="102" spans="1:1">
      <c r="A102" s="24" t="s">
        <v>553</v>
      </c>
    </row>
    <row r="103" spans="1:1">
      <c r="A103" s="24" t="s">
        <v>554</v>
      </c>
    </row>
    <row r="104" spans="1:1">
      <c r="A104" s="24" t="s">
        <v>555</v>
      </c>
    </row>
    <row r="105" spans="1:1">
      <c r="A105" s="24" t="s">
        <v>556</v>
      </c>
    </row>
    <row r="106" spans="1:1">
      <c r="A106" s="24" t="s">
        <v>557</v>
      </c>
    </row>
    <row r="107" spans="1:1">
      <c r="A107" s="24" t="s">
        <v>558</v>
      </c>
    </row>
    <row r="108" spans="1:1">
      <c r="A108" s="24" t="s">
        <v>559</v>
      </c>
    </row>
    <row r="109" spans="1:1">
      <c r="A109" s="24" t="s">
        <v>560</v>
      </c>
    </row>
    <row r="110" spans="1:1">
      <c r="A110" s="24" t="s">
        <v>561</v>
      </c>
    </row>
    <row r="111" spans="1:1">
      <c r="A111" s="24" t="s">
        <v>562</v>
      </c>
    </row>
    <row r="112" spans="1:1">
      <c r="A112" s="24" t="s">
        <v>563</v>
      </c>
    </row>
    <row r="113" spans="1:1">
      <c r="A113" s="24" t="s">
        <v>564</v>
      </c>
    </row>
    <row r="114" spans="1:1">
      <c r="A114" s="24" t="s">
        <v>565</v>
      </c>
    </row>
    <row r="115" spans="1:1">
      <c r="A115" s="24" t="s">
        <v>566</v>
      </c>
    </row>
    <row r="116" spans="1:1">
      <c r="A116" s="24" t="s">
        <v>567</v>
      </c>
    </row>
    <row r="117" spans="1:1">
      <c r="A117" s="24" t="s">
        <v>568</v>
      </c>
    </row>
    <row r="118" spans="1:1">
      <c r="A118" s="24" t="s">
        <v>569</v>
      </c>
    </row>
    <row r="119" spans="1:1">
      <c r="A119" s="24" t="s">
        <v>570</v>
      </c>
    </row>
    <row r="120" spans="1:1">
      <c r="A120" s="24" t="s">
        <v>571</v>
      </c>
    </row>
    <row r="121" spans="1:1">
      <c r="A121" s="24" t="s">
        <v>572</v>
      </c>
    </row>
    <row r="122" spans="1:1">
      <c r="A122" s="24" t="s">
        <v>573</v>
      </c>
    </row>
    <row r="123" spans="1:1">
      <c r="A123" s="24" t="s">
        <v>574</v>
      </c>
    </row>
    <row r="124" spans="1:1">
      <c r="A124" s="24" t="s">
        <v>575</v>
      </c>
    </row>
    <row r="125" spans="1:1">
      <c r="A125" s="24" t="s">
        <v>576</v>
      </c>
    </row>
    <row r="126" spans="1:1">
      <c r="A126" s="24" t="s">
        <v>577</v>
      </c>
    </row>
    <row r="127" spans="1:1">
      <c r="A127" s="24" t="s">
        <v>578</v>
      </c>
    </row>
    <row r="128" spans="1:1">
      <c r="A128" s="24" t="s">
        <v>579</v>
      </c>
    </row>
    <row r="129" spans="1:1">
      <c r="A129" s="24" t="s">
        <v>580</v>
      </c>
    </row>
    <row r="130" spans="1:1">
      <c r="A130" s="24" t="s">
        <v>581</v>
      </c>
    </row>
    <row r="131" spans="1:1">
      <c r="A131" s="24" t="s">
        <v>582</v>
      </c>
    </row>
    <row r="132" spans="1:1">
      <c r="A132" s="24" t="s">
        <v>583</v>
      </c>
    </row>
    <row r="133" spans="1:1">
      <c r="A133" s="24" t="s">
        <v>584</v>
      </c>
    </row>
    <row r="134" spans="1:1">
      <c r="A134" s="24" t="s">
        <v>585</v>
      </c>
    </row>
    <row r="135" spans="1:1">
      <c r="A135" s="24" t="s">
        <v>586</v>
      </c>
    </row>
    <row r="136" spans="1:1">
      <c r="A136" s="24" t="s">
        <v>587</v>
      </c>
    </row>
    <row r="137" spans="1:1">
      <c r="A137" s="24" t="s">
        <v>588</v>
      </c>
    </row>
    <row r="138" spans="1:1">
      <c r="A138" s="24" t="s">
        <v>589</v>
      </c>
    </row>
    <row r="139" spans="1:1">
      <c r="A139" s="24" t="s">
        <v>590</v>
      </c>
    </row>
    <row r="140" spans="1:1">
      <c r="A140" s="24" t="s">
        <v>591</v>
      </c>
    </row>
    <row r="141" spans="1:1">
      <c r="A141" s="24" t="s">
        <v>592</v>
      </c>
    </row>
    <row r="142" spans="1:1">
      <c r="A142" s="24" t="s">
        <v>593</v>
      </c>
    </row>
    <row r="143" spans="1:1">
      <c r="A143" s="24" t="s">
        <v>594</v>
      </c>
    </row>
    <row r="144" spans="1:1">
      <c r="A144" s="24" t="s">
        <v>595</v>
      </c>
    </row>
    <row r="145" spans="1:1">
      <c r="A145" s="24" t="s">
        <v>596</v>
      </c>
    </row>
    <row r="146" spans="1:1">
      <c r="A146" s="24" t="s">
        <v>597</v>
      </c>
    </row>
    <row r="147" spans="1:1">
      <c r="A147" s="24" t="s">
        <v>598</v>
      </c>
    </row>
    <row r="148" spans="1:1">
      <c r="A148" s="24" t="s">
        <v>599</v>
      </c>
    </row>
    <row r="149" spans="1:1">
      <c r="A149" s="24" t="s">
        <v>600</v>
      </c>
    </row>
    <row r="150" spans="1:1">
      <c r="A150" s="24" t="s">
        <v>601</v>
      </c>
    </row>
    <row r="151" spans="1:1">
      <c r="A151" s="24" t="s">
        <v>602</v>
      </c>
    </row>
    <row r="152" spans="1:1">
      <c r="A152" s="24" t="s">
        <v>603</v>
      </c>
    </row>
    <row r="153" spans="1:1">
      <c r="A153" s="24" t="s">
        <v>604</v>
      </c>
    </row>
    <row r="154" spans="1:1">
      <c r="A154" s="24" t="s">
        <v>605</v>
      </c>
    </row>
    <row r="155" spans="1:1">
      <c r="A155" s="24" t="s">
        <v>606</v>
      </c>
    </row>
    <row r="156" spans="1:1">
      <c r="A156" s="24" t="s">
        <v>607</v>
      </c>
    </row>
    <row r="157" spans="1:1">
      <c r="A157" s="24" t="s">
        <v>608</v>
      </c>
    </row>
    <row r="158" spans="1:1">
      <c r="A158" s="24" t="s">
        <v>609</v>
      </c>
    </row>
    <row r="159" spans="1:1">
      <c r="A159" s="24" t="s">
        <v>610</v>
      </c>
    </row>
    <row r="160" spans="1:1">
      <c r="A160" s="24" t="s">
        <v>611</v>
      </c>
    </row>
    <row r="161" spans="1:1">
      <c r="A161" s="24" t="s">
        <v>612</v>
      </c>
    </row>
    <row r="162" spans="1:1">
      <c r="A162" s="24" t="s">
        <v>613</v>
      </c>
    </row>
    <row r="163" spans="1:1">
      <c r="A163" s="24" t="s">
        <v>614</v>
      </c>
    </row>
    <row r="164" spans="1:1">
      <c r="A164" s="24" t="s">
        <v>615</v>
      </c>
    </row>
    <row r="165" spans="1:1">
      <c r="A165" s="24" t="s">
        <v>616</v>
      </c>
    </row>
    <row r="166" spans="1:1">
      <c r="A166" s="24" t="s">
        <v>617</v>
      </c>
    </row>
    <row r="167" spans="1:1">
      <c r="A167" s="24" t="s">
        <v>618</v>
      </c>
    </row>
    <row r="168" spans="1:1">
      <c r="A168" s="24" t="s">
        <v>619</v>
      </c>
    </row>
    <row r="169" spans="1:1">
      <c r="A169" s="24" t="s">
        <v>620</v>
      </c>
    </row>
    <row r="170" spans="1:1">
      <c r="A170" s="24" t="s">
        <v>621</v>
      </c>
    </row>
    <row r="171" spans="1:1">
      <c r="A171" s="24" t="s">
        <v>622</v>
      </c>
    </row>
    <row r="172" spans="1:1">
      <c r="A172" s="24" t="s">
        <v>623</v>
      </c>
    </row>
    <row r="173" spans="1:1">
      <c r="A173" s="24" t="s">
        <v>624</v>
      </c>
    </row>
    <row r="174" spans="1:1">
      <c r="A174" s="24" t="s">
        <v>625</v>
      </c>
    </row>
    <row r="175" spans="1:1">
      <c r="A175" s="24" t="s">
        <v>626</v>
      </c>
    </row>
    <row r="176" spans="1:1">
      <c r="A176" s="24" t="s">
        <v>627</v>
      </c>
    </row>
    <row r="177" spans="1:1">
      <c r="A177" s="24" t="s">
        <v>628</v>
      </c>
    </row>
    <row r="178" spans="1:1">
      <c r="A178" s="24" t="s">
        <v>629</v>
      </c>
    </row>
    <row r="179" spans="1:1">
      <c r="A179" s="24" t="s">
        <v>630</v>
      </c>
    </row>
    <row r="180" spans="1:1">
      <c r="A180" s="24" t="s">
        <v>631</v>
      </c>
    </row>
    <row r="181" spans="1:1">
      <c r="A181" s="24" t="s">
        <v>632</v>
      </c>
    </row>
    <row r="182" spans="1:1">
      <c r="A182" s="24" t="s">
        <v>633</v>
      </c>
    </row>
    <row r="183" spans="1:1">
      <c r="A183" s="24" t="s">
        <v>634</v>
      </c>
    </row>
    <row r="184" spans="1:1">
      <c r="A184" s="24" t="s">
        <v>635</v>
      </c>
    </row>
    <row r="185" spans="1:1">
      <c r="A185" s="24" t="s">
        <v>636</v>
      </c>
    </row>
    <row r="186" spans="1:1">
      <c r="A186" s="24" t="s">
        <v>637</v>
      </c>
    </row>
    <row r="187" spans="1:1">
      <c r="A187" s="24" t="s">
        <v>638</v>
      </c>
    </row>
    <row r="188" spans="1:1">
      <c r="A188" s="24" t="s">
        <v>639</v>
      </c>
    </row>
    <row r="189" spans="1:1">
      <c r="A189" s="24" t="s">
        <v>640</v>
      </c>
    </row>
    <row r="190" spans="1:1">
      <c r="A190" s="24" t="s">
        <v>641</v>
      </c>
    </row>
    <row r="191" spans="1:1">
      <c r="A191" s="24" t="s">
        <v>642</v>
      </c>
    </row>
    <row r="192" spans="1:1">
      <c r="A192" s="24" t="s">
        <v>643</v>
      </c>
    </row>
    <row r="193" spans="1:1">
      <c r="A193" s="24" t="s">
        <v>644</v>
      </c>
    </row>
    <row r="194" spans="1:1">
      <c r="A194" s="24" t="s">
        <v>645</v>
      </c>
    </row>
    <row r="195" spans="1:1">
      <c r="A195" s="24" t="s">
        <v>646</v>
      </c>
    </row>
    <row r="196" spans="1:1">
      <c r="A196" s="24" t="s">
        <v>647</v>
      </c>
    </row>
    <row r="197" spans="1:1">
      <c r="A197" s="24" t="s">
        <v>648</v>
      </c>
    </row>
    <row r="198" spans="1:1">
      <c r="A198" s="24" t="s">
        <v>649</v>
      </c>
    </row>
    <row r="199" spans="1:1">
      <c r="A199" s="24" t="s">
        <v>650</v>
      </c>
    </row>
    <row r="200" spans="1:1">
      <c r="A200" s="24" t="s">
        <v>651</v>
      </c>
    </row>
    <row r="201" spans="1:1">
      <c r="A201" s="24" t="s">
        <v>652</v>
      </c>
    </row>
    <row r="202" spans="1:1">
      <c r="A202" s="24" t="s">
        <v>653</v>
      </c>
    </row>
    <row r="203" spans="1:1">
      <c r="A203" s="24" t="s">
        <v>654</v>
      </c>
    </row>
    <row r="204" spans="1:1">
      <c r="A204" s="24" t="s">
        <v>655</v>
      </c>
    </row>
    <row r="205" spans="1:1">
      <c r="A205" s="24" t="s">
        <v>656</v>
      </c>
    </row>
    <row r="206" spans="1:1">
      <c r="A206" s="24" t="s">
        <v>657</v>
      </c>
    </row>
    <row r="207" spans="1:1">
      <c r="A207" s="24" t="s">
        <v>658</v>
      </c>
    </row>
    <row r="208" spans="1:1">
      <c r="A208" s="24" t="s">
        <v>659</v>
      </c>
    </row>
    <row r="209" spans="1:1">
      <c r="A209" s="24" t="s">
        <v>660</v>
      </c>
    </row>
    <row r="210" spans="1:1">
      <c r="A210" s="24" t="s">
        <v>661</v>
      </c>
    </row>
    <row r="211" spans="1:1">
      <c r="A211" s="24" t="s">
        <v>662</v>
      </c>
    </row>
    <row r="212" spans="1:1">
      <c r="A212" s="24" t="s">
        <v>663</v>
      </c>
    </row>
    <row r="213" spans="1:1">
      <c r="A213" s="24" t="s">
        <v>664</v>
      </c>
    </row>
    <row r="214" spans="1:1">
      <c r="A214" s="24" t="s">
        <v>665</v>
      </c>
    </row>
    <row r="215" spans="1:1">
      <c r="A215" s="24" t="s">
        <v>666</v>
      </c>
    </row>
    <row r="216" spans="1:1">
      <c r="A216" s="24" t="s">
        <v>667</v>
      </c>
    </row>
    <row r="217" spans="1:1">
      <c r="A217" s="24" t="s">
        <v>668</v>
      </c>
    </row>
    <row r="218" spans="1:1">
      <c r="A218" s="24" t="s">
        <v>669</v>
      </c>
    </row>
    <row r="219" spans="1:1">
      <c r="A219" s="24" t="s">
        <v>670</v>
      </c>
    </row>
    <row r="220" spans="1:1">
      <c r="A220" s="24" t="s">
        <v>671</v>
      </c>
    </row>
    <row r="221" spans="1:1">
      <c r="A221" s="24" t="s">
        <v>672</v>
      </c>
    </row>
    <row r="222" spans="1:1">
      <c r="A222" s="24" t="s">
        <v>673</v>
      </c>
    </row>
    <row r="223" spans="1:1">
      <c r="A223" s="24" t="s">
        <v>674</v>
      </c>
    </row>
    <row r="224" spans="1:1">
      <c r="A224" s="24" t="s">
        <v>675</v>
      </c>
    </row>
    <row r="225" spans="1:1">
      <c r="A225" s="24" t="s">
        <v>676</v>
      </c>
    </row>
    <row r="226" spans="1:1">
      <c r="A226" s="24" t="s">
        <v>677</v>
      </c>
    </row>
    <row r="227" spans="1:1">
      <c r="A227" s="24" t="s">
        <v>678</v>
      </c>
    </row>
    <row r="228" spans="1:1">
      <c r="A228" s="24" t="s">
        <v>679</v>
      </c>
    </row>
    <row r="229" spans="1:1">
      <c r="A229" s="24" t="s">
        <v>680</v>
      </c>
    </row>
    <row r="230" spans="1:1">
      <c r="A230" s="24" t="s">
        <v>681</v>
      </c>
    </row>
    <row r="231" spans="1:1">
      <c r="A231" s="24" t="s">
        <v>682</v>
      </c>
    </row>
    <row r="232" spans="1:1">
      <c r="A232" s="24" t="s">
        <v>683</v>
      </c>
    </row>
    <row r="233" spans="1:1">
      <c r="A233" s="24" t="s">
        <v>684</v>
      </c>
    </row>
    <row r="234" spans="1:1">
      <c r="A234" s="24" t="s">
        <v>685</v>
      </c>
    </row>
    <row r="235" spans="1:1">
      <c r="A235" s="24" t="s">
        <v>686</v>
      </c>
    </row>
    <row r="236" spans="1:1">
      <c r="A236" s="24" t="s">
        <v>687</v>
      </c>
    </row>
    <row r="237" spans="1:1">
      <c r="A237" s="24" t="s">
        <v>688</v>
      </c>
    </row>
    <row r="238" spans="1:1">
      <c r="A238" s="24" t="s">
        <v>689</v>
      </c>
    </row>
    <row r="239" spans="1:1">
      <c r="A239" s="24" t="s">
        <v>690</v>
      </c>
    </row>
    <row r="240" spans="1:1">
      <c r="A240" s="24" t="s">
        <v>691</v>
      </c>
    </row>
    <row r="241" spans="1:1">
      <c r="A241" s="24" t="s">
        <v>692</v>
      </c>
    </row>
    <row r="242" spans="1:1">
      <c r="A242" s="24" t="s">
        <v>693</v>
      </c>
    </row>
    <row r="243" spans="1:1">
      <c r="A243" s="24" t="s">
        <v>694</v>
      </c>
    </row>
    <row r="244" spans="1:1">
      <c r="A244" s="24" t="s">
        <v>695</v>
      </c>
    </row>
    <row r="245" spans="1:1">
      <c r="A245" s="24" t="s">
        <v>696</v>
      </c>
    </row>
    <row r="246" spans="1:1">
      <c r="A246" s="24" t="s">
        <v>697</v>
      </c>
    </row>
    <row r="247" spans="1:1">
      <c r="A247" s="24" t="s">
        <v>698</v>
      </c>
    </row>
    <row r="248" spans="1:1">
      <c r="A248" s="24" t="s">
        <v>699</v>
      </c>
    </row>
    <row r="249" spans="1:1">
      <c r="A249" s="24" t="s">
        <v>700</v>
      </c>
    </row>
    <row r="250" spans="1:1">
      <c r="A250" s="24" t="s">
        <v>701</v>
      </c>
    </row>
    <row r="251" spans="1:1">
      <c r="A251" s="24" t="s">
        <v>702</v>
      </c>
    </row>
    <row r="252" spans="1:1">
      <c r="A252" s="24" t="s">
        <v>703</v>
      </c>
    </row>
    <row r="253" spans="1:1">
      <c r="A253" s="24" t="s">
        <v>704</v>
      </c>
    </row>
    <row r="254" spans="1:1">
      <c r="A254" s="24" t="s">
        <v>705</v>
      </c>
    </row>
    <row r="255" spans="1:1">
      <c r="A255" s="24" t="s">
        <v>706</v>
      </c>
    </row>
    <row r="256" spans="1:1">
      <c r="A256" s="24" t="s">
        <v>707</v>
      </c>
    </row>
    <row r="257" spans="1:1">
      <c r="A257" s="24" t="s">
        <v>708</v>
      </c>
    </row>
    <row r="258" spans="1:1">
      <c r="A258" s="24" t="s">
        <v>709</v>
      </c>
    </row>
    <row r="259" spans="1:1">
      <c r="A259" s="24" t="s">
        <v>710</v>
      </c>
    </row>
    <row r="260" spans="1:1">
      <c r="A260" s="24" t="s">
        <v>711</v>
      </c>
    </row>
    <row r="261" spans="1:1">
      <c r="A261" s="24" t="s">
        <v>712</v>
      </c>
    </row>
    <row r="262" spans="1:1">
      <c r="A262" s="24" t="s">
        <v>713</v>
      </c>
    </row>
    <row r="263" spans="1:1">
      <c r="A263" s="24" t="s">
        <v>714</v>
      </c>
    </row>
    <row r="264" spans="1:1">
      <c r="A264" s="24" t="s">
        <v>715</v>
      </c>
    </row>
    <row r="265" spans="1:1">
      <c r="A265" s="24" t="s">
        <v>716</v>
      </c>
    </row>
    <row r="266" spans="1:1">
      <c r="A266" s="24" t="s">
        <v>717</v>
      </c>
    </row>
    <row r="267" spans="1:1">
      <c r="A267" s="24" t="s">
        <v>718</v>
      </c>
    </row>
    <row r="268" spans="1:1">
      <c r="A268" s="24" t="s">
        <v>719</v>
      </c>
    </row>
    <row r="269" spans="1:1">
      <c r="A269" s="24" t="s">
        <v>720</v>
      </c>
    </row>
    <row r="270" spans="1:1">
      <c r="A270" s="24" t="s">
        <v>721</v>
      </c>
    </row>
    <row r="271" spans="1:1">
      <c r="A271" s="24" t="s">
        <v>722</v>
      </c>
    </row>
    <row r="272" spans="1:1">
      <c r="A272" s="24" t="s">
        <v>723</v>
      </c>
    </row>
    <row r="273" spans="1:1">
      <c r="A273" s="24" t="s">
        <v>724</v>
      </c>
    </row>
    <row r="274" spans="1:1">
      <c r="A274" s="24" t="s">
        <v>725</v>
      </c>
    </row>
    <row r="275" spans="1:1">
      <c r="A275" s="24" t="s">
        <v>726</v>
      </c>
    </row>
    <row r="276" spans="1:1">
      <c r="A276" s="24" t="s">
        <v>727</v>
      </c>
    </row>
    <row r="277" spans="1:1">
      <c r="A277" s="24" t="s">
        <v>728</v>
      </c>
    </row>
    <row r="278" spans="1:1">
      <c r="A278" s="24" t="s">
        <v>729</v>
      </c>
    </row>
    <row r="279" spans="1:1">
      <c r="A279" s="24" t="s">
        <v>730</v>
      </c>
    </row>
    <row r="280" spans="1:1">
      <c r="A280" s="24" t="s">
        <v>731</v>
      </c>
    </row>
    <row r="281" spans="1:1">
      <c r="A281" s="24" t="s">
        <v>732</v>
      </c>
    </row>
    <row r="282" spans="1:1">
      <c r="A282" s="24" t="s">
        <v>733</v>
      </c>
    </row>
    <row r="283" spans="1:1">
      <c r="A283" s="24" t="s">
        <v>734</v>
      </c>
    </row>
    <row r="284" spans="1:1">
      <c r="A284" s="24" t="s">
        <v>735</v>
      </c>
    </row>
    <row r="285" spans="1:1">
      <c r="A285" s="24" t="s">
        <v>736</v>
      </c>
    </row>
    <row r="286" spans="1:1">
      <c r="A286" s="24" t="s">
        <v>737</v>
      </c>
    </row>
    <row r="287" spans="1:1">
      <c r="A287" s="24" t="s">
        <v>738</v>
      </c>
    </row>
    <row r="288" spans="1:1">
      <c r="A288" s="24" t="s">
        <v>739</v>
      </c>
    </row>
    <row r="289" spans="1:1">
      <c r="A289" s="24" t="s">
        <v>740</v>
      </c>
    </row>
    <row r="290" spans="1:1">
      <c r="A290" s="24" t="s">
        <v>741</v>
      </c>
    </row>
    <row r="291" spans="1:1">
      <c r="A291" s="24" t="s">
        <v>742</v>
      </c>
    </row>
    <row r="292" spans="1:1">
      <c r="A292" s="24" t="s">
        <v>743</v>
      </c>
    </row>
    <row r="293" spans="1:1">
      <c r="A293" s="24" t="s">
        <v>744</v>
      </c>
    </row>
    <row r="294" spans="1:1">
      <c r="A294" s="24" t="s">
        <v>745</v>
      </c>
    </row>
    <row r="295" spans="1:1">
      <c r="A295" s="24" t="s">
        <v>746</v>
      </c>
    </row>
    <row r="296" spans="1:1">
      <c r="A296" s="24" t="s">
        <v>747</v>
      </c>
    </row>
    <row r="297" spans="1:1">
      <c r="A297" s="24" t="s">
        <v>748</v>
      </c>
    </row>
    <row r="298" spans="1:1">
      <c r="A298" s="24" t="s">
        <v>749</v>
      </c>
    </row>
    <row r="299" spans="1:1">
      <c r="A299" s="24" t="s">
        <v>750</v>
      </c>
    </row>
    <row r="300" spans="1:1">
      <c r="A300" s="24" t="s">
        <v>751</v>
      </c>
    </row>
    <row r="301" spans="1:1">
      <c r="A301" s="24" t="s">
        <v>752</v>
      </c>
    </row>
    <row r="302" spans="1:1">
      <c r="A302" s="24" t="s">
        <v>753</v>
      </c>
    </row>
    <row r="303" spans="1:1">
      <c r="A303" s="24" t="s">
        <v>754</v>
      </c>
    </row>
    <row r="304" spans="1:1">
      <c r="A304" s="24" t="s">
        <v>755</v>
      </c>
    </row>
    <row r="305" spans="1:1">
      <c r="A305" s="24" t="s">
        <v>756</v>
      </c>
    </row>
    <row r="306" spans="1:1">
      <c r="A306" s="24" t="s">
        <v>757</v>
      </c>
    </row>
    <row r="307" spans="1:1">
      <c r="A307" s="24" t="s">
        <v>758</v>
      </c>
    </row>
    <row r="308" spans="1:1">
      <c r="A308" s="24" t="s">
        <v>759</v>
      </c>
    </row>
    <row r="309" spans="1:1">
      <c r="A309" s="24" t="s">
        <v>760</v>
      </c>
    </row>
    <row r="310" spans="1:1">
      <c r="A310" s="24" t="s">
        <v>761</v>
      </c>
    </row>
    <row r="311" spans="1:1">
      <c r="A311" s="24" t="s">
        <v>762</v>
      </c>
    </row>
    <row r="312" spans="1:1">
      <c r="A312" s="24" t="s">
        <v>763</v>
      </c>
    </row>
    <row r="313" spans="1:1">
      <c r="A313" s="24" t="s">
        <v>764</v>
      </c>
    </row>
    <row r="314" spans="1:1">
      <c r="A314" s="24" t="s">
        <v>765</v>
      </c>
    </row>
    <row r="315" spans="1:1">
      <c r="A315" s="24" t="s">
        <v>766</v>
      </c>
    </row>
    <row r="316" spans="1:1">
      <c r="A316" s="24" t="s">
        <v>767</v>
      </c>
    </row>
    <row r="317" spans="1:1">
      <c r="A317" s="24" t="s">
        <v>768</v>
      </c>
    </row>
    <row r="318" spans="1:1">
      <c r="A318" s="24" t="s">
        <v>769</v>
      </c>
    </row>
    <row r="319" spans="1:1">
      <c r="A319" s="24" t="s">
        <v>770</v>
      </c>
    </row>
    <row r="320" spans="1:1">
      <c r="A320" s="24" t="s">
        <v>771</v>
      </c>
    </row>
    <row r="321" spans="1:1">
      <c r="A321" s="24" t="s">
        <v>772</v>
      </c>
    </row>
    <row r="322" spans="1:1">
      <c r="A322" s="24" t="s">
        <v>773</v>
      </c>
    </row>
    <row r="323" spans="1:1">
      <c r="A323" s="24" t="s">
        <v>774</v>
      </c>
    </row>
    <row r="324" spans="1:1">
      <c r="A324" s="24" t="s">
        <v>775</v>
      </c>
    </row>
    <row r="325" spans="1:1">
      <c r="A325" s="24" t="s">
        <v>776</v>
      </c>
    </row>
    <row r="326" spans="1:1">
      <c r="A326" s="24" t="s">
        <v>777</v>
      </c>
    </row>
    <row r="327" spans="1:1">
      <c r="A327" s="24" t="s">
        <v>778</v>
      </c>
    </row>
    <row r="328" spans="1:1">
      <c r="A328" s="24" t="s">
        <v>779</v>
      </c>
    </row>
    <row r="329" spans="1:1">
      <c r="A329" s="24" t="s">
        <v>780</v>
      </c>
    </row>
    <row r="330" spans="1:1">
      <c r="A330" s="24" t="s">
        <v>781</v>
      </c>
    </row>
    <row r="331" spans="1:1">
      <c r="A331" s="24" t="s">
        <v>782</v>
      </c>
    </row>
    <row r="332" spans="1:1">
      <c r="A332" s="24" t="s">
        <v>783</v>
      </c>
    </row>
    <row r="333" spans="1:1">
      <c r="A333" s="24" t="s">
        <v>784</v>
      </c>
    </row>
    <row r="334" spans="1:1">
      <c r="A334" s="24" t="s">
        <v>785</v>
      </c>
    </row>
    <row r="335" spans="1:1">
      <c r="A335" s="24" t="s">
        <v>786</v>
      </c>
    </row>
    <row r="336" spans="1:1">
      <c r="A336" s="24" t="s">
        <v>787</v>
      </c>
    </row>
    <row r="337" spans="1:1">
      <c r="A337" s="24" t="s">
        <v>788</v>
      </c>
    </row>
    <row r="338" spans="1:1">
      <c r="A338" s="24" t="s">
        <v>789</v>
      </c>
    </row>
    <row r="339" spans="1:1">
      <c r="A339" s="24" t="s">
        <v>790</v>
      </c>
    </row>
    <row r="340" spans="1:1">
      <c r="A340" s="24" t="s">
        <v>791</v>
      </c>
    </row>
    <row r="341" spans="1:1">
      <c r="A341" s="24" t="s">
        <v>792</v>
      </c>
    </row>
    <row r="342" spans="1:1">
      <c r="A342" s="24" t="s">
        <v>793</v>
      </c>
    </row>
    <row r="343" spans="1:1">
      <c r="A343" s="24" t="s">
        <v>794</v>
      </c>
    </row>
    <row r="344" spans="1:1">
      <c r="A344" s="24" t="s">
        <v>795</v>
      </c>
    </row>
    <row r="345" spans="1:1">
      <c r="A345" s="24" t="s">
        <v>796</v>
      </c>
    </row>
    <row r="346" spans="1:1">
      <c r="A346" s="24" t="s">
        <v>797</v>
      </c>
    </row>
    <row r="347" spans="1:1">
      <c r="A347" s="24" t="s">
        <v>798</v>
      </c>
    </row>
    <row r="348" spans="1:1">
      <c r="A348" s="24" t="s">
        <v>799</v>
      </c>
    </row>
    <row r="349" spans="1:1">
      <c r="A349" s="24" t="s">
        <v>800</v>
      </c>
    </row>
    <row r="350" spans="1:1">
      <c r="A350" s="24" t="s">
        <v>801</v>
      </c>
    </row>
    <row r="351" spans="1:1">
      <c r="A351" s="24" t="s">
        <v>802</v>
      </c>
    </row>
    <row r="352" spans="1:1">
      <c r="A352" s="24" t="s">
        <v>803</v>
      </c>
    </row>
    <row r="353" spans="1:1">
      <c r="A353" s="24" t="s">
        <v>804</v>
      </c>
    </row>
    <row r="354" spans="1:1">
      <c r="A354" s="24" t="s">
        <v>805</v>
      </c>
    </row>
    <row r="355" spans="1:1">
      <c r="A355" s="24" t="s">
        <v>806</v>
      </c>
    </row>
    <row r="356" spans="1:1">
      <c r="A356" s="24" t="s">
        <v>807</v>
      </c>
    </row>
    <row r="357" spans="1:1">
      <c r="A357" s="24" t="s">
        <v>808</v>
      </c>
    </row>
    <row r="358" spans="1:1">
      <c r="A358" s="24" t="s">
        <v>809</v>
      </c>
    </row>
    <row r="359" spans="1:1">
      <c r="A359" s="24" t="s">
        <v>810</v>
      </c>
    </row>
    <row r="360" spans="1:1">
      <c r="A360" s="24" t="s">
        <v>811</v>
      </c>
    </row>
    <row r="361" spans="1:1">
      <c r="A361" s="24" t="s">
        <v>812</v>
      </c>
    </row>
    <row r="362" spans="1:1">
      <c r="A362" s="24" t="s">
        <v>813</v>
      </c>
    </row>
    <row r="363" spans="1:1">
      <c r="A363" s="24" t="s">
        <v>814</v>
      </c>
    </row>
    <row r="364" spans="1:1">
      <c r="A364" s="24" t="s">
        <v>815</v>
      </c>
    </row>
    <row r="365" spans="1:1">
      <c r="A365" s="24" t="s">
        <v>816</v>
      </c>
    </row>
    <row r="366" spans="1:1">
      <c r="A366" s="24" t="s">
        <v>817</v>
      </c>
    </row>
    <row r="367" spans="1:1">
      <c r="A367" s="24" t="s">
        <v>818</v>
      </c>
    </row>
    <row r="368" spans="1:1">
      <c r="A368" s="24" t="s">
        <v>819</v>
      </c>
    </row>
    <row r="369" spans="1:1">
      <c r="A369" s="24" t="s">
        <v>820</v>
      </c>
    </row>
    <row r="370" spans="1:1">
      <c r="A370" s="24" t="s">
        <v>821</v>
      </c>
    </row>
    <row r="371" spans="1:1">
      <c r="A371" s="24" t="s">
        <v>822</v>
      </c>
    </row>
    <row r="372" spans="1:1">
      <c r="A372" s="24" t="s">
        <v>823</v>
      </c>
    </row>
    <row r="373" spans="1:1">
      <c r="A373" s="24" t="s">
        <v>824</v>
      </c>
    </row>
    <row r="374" spans="1:1">
      <c r="A374" s="24" t="s">
        <v>825</v>
      </c>
    </row>
    <row r="375" spans="1:1">
      <c r="A375" s="24" t="s">
        <v>826</v>
      </c>
    </row>
    <row r="376" spans="1:1">
      <c r="A376" s="24" t="s">
        <v>827</v>
      </c>
    </row>
    <row r="377" spans="1:1">
      <c r="A377" s="24" t="s">
        <v>828</v>
      </c>
    </row>
    <row r="378" spans="1:1">
      <c r="A378" s="24" t="s">
        <v>829</v>
      </c>
    </row>
    <row r="379" spans="1:1">
      <c r="A379" s="24" t="s">
        <v>830</v>
      </c>
    </row>
    <row r="380" spans="1:1">
      <c r="A380" s="24" t="s">
        <v>831</v>
      </c>
    </row>
    <row r="381" spans="1:1">
      <c r="A381" s="24" t="s">
        <v>832</v>
      </c>
    </row>
    <row r="382" spans="1:1">
      <c r="A382" s="24" t="s">
        <v>833</v>
      </c>
    </row>
    <row r="383" spans="1:1">
      <c r="A383" s="24" t="s">
        <v>834</v>
      </c>
    </row>
    <row r="384" spans="1:1">
      <c r="A384" s="24" t="s">
        <v>835</v>
      </c>
    </row>
    <row r="385" spans="1:1">
      <c r="A385" s="24" t="s">
        <v>836</v>
      </c>
    </row>
    <row r="386" spans="1:1">
      <c r="A386" s="24" t="s">
        <v>837</v>
      </c>
    </row>
    <row r="387" spans="1:1">
      <c r="A387" s="24" t="s">
        <v>838</v>
      </c>
    </row>
    <row r="388" spans="1:1">
      <c r="A388" s="24" t="s">
        <v>839</v>
      </c>
    </row>
    <row r="389" spans="1:1">
      <c r="A389" s="24" t="s">
        <v>840</v>
      </c>
    </row>
    <row r="390" spans="1:1">
      <c r="A390" s="24" t="s">
        <v>841</v>
      </c>
    </row>
    <row r="391" spans="1:1">
      <c r="A391" s="24" t="s">
        <v>842</v>
      </c>
    </row>
    <row r="392" spans="1:1">
      <c r="A392" s="24" t="s">
        <v>843</v>
      </c>
    </row>
    <row r="393" spans="1:1">
      <c r="A393" s="24" t="s">
        <v>844</v>
      </c>
    </row>
    <row r="394" spans="1:1">
      <c r="A394" s="24" t="s">
        <v>845</v>
      </c>
    </row>
    <row r="395" spans="1:1">
      <c r="A395" s="24" t="s">
        <v>846</v>
      </c>
    </row>
    <row r="396" spans="1:1">
      <c r="A396" s="24" t="s">
        <v>847</v>
      </c>
    </row>
    <row r="397" spans="1:1">
      <c r="A397" s="24" t="s">
        <v>848</v>
      </c>
    </row>
    <row r="398" spans="1:1">
      <c r="A398" s="24" t="s">
        <v>849</v>
      </c>
    </row>
    <row r="399" spans="1:1">
      <c r="A399" s="24" t="s">
        <v>850</v>
      </c>
    </row>
    <row r="400" spans="1:1">
      <c r="A400" s="24" t="s">
        <v>851</v>
      </c>
    </row>
    <row r="401" spans="1:1">
      <c r="A401" s="24" t="s">
        <v>852</v>
      </c>
    </row>
    <row r="402" spans="1:1">
      <c r="A402" s="24" t="s">
        <v>853</v>
      </c>
    </row>
    <row r="403" spans="1:1">
      <c r="A403" s="24" t="s">
        <v>854</v>
      </c>
    </row>
    <row r="404" spans="1:1">
      <c r="A404" s="24" t="s">
        <v>855</v>
      </c>
    </row>
    <row r="405" spans="1:1">
      <c r="A405" s="24" t="s">
        <v>856</v>
      </c>
    </row>
    <row r="406" spans="1:1">
      <c r="A406" s="24" t="s">
        <v>857</v>
      </c>
    </row>
    <row r="407" spans="1:1">
      <c r="A407" s="24" t="s">
        <v>858</v>
      </c>
    </row>
    <row r="408" spans="1:1">
      <c r="A408" s="24" t="s">
        <v>859</v>
      </c>
    </row>
    <row r="409" spans="1:1">
      <c r="A409" s="24" t="s">
        <v>860</v>
      </c>
    </row>
    <row r="410" spans="1:1">
      <c r="A410" s="24" t="s">
        <v>861</v>
      </c>
    </row>
    <row r="411" spans="1:1">
      <c r="A411" s="24" t="s">
        <v>862</v>
      </c>
    </row>
    <row r="412" spans="1:1">
      <c r="A412" s="24" t="s">
        <v>863</v>
      </c>
    </row>
    <row r="413" spans="1:1">
      <c r="A413" s="24" t="s">
        <v>864</v>
      </c>
    </row>
    <row r="414" spans="1:1">
      <c r="A414" s="24" t="s">
        <v>865</v>
      </c>
    </row>
    <row r="415" spans="1:1">
      <c r="A415" s="24" t="s">
        <v>866</v>
      </c>
    </row>
    <row r="416" spans="1:1">
      <c r="A416" s="24" t="s">
        <v>867</v>
      </c>
    </row>
    <row r="417" spans="1:1">
      <c r="A417" s="24" t="s">
        <v>868</v>
      </c>
    </row>
    <row r="418" spans="1:1">
      <c r="A418" s="24" t="s">
        <v>869</v>
      </c>
    </row>
    <row r="419" spans="1:1">
      <c r="A419" s="24" t="s">
        <v>870</v>
      </c>
    </row>
    <row r="420" spans="1:1">
      <c r="A420" s="24" t="s">
        <v>871</v>
      </c>
    </row>
    <row r="421" spans="1:1">
      <c r="A421" s="24" t="s">
        <v>872</v>
      </c>
    </row>
    <row r="422" spans="1:1">
      <c r="A422" s="24" t="s">
        <v>873</v>
      </c>
    </row>
    <row r="423" spans="1:1">
      <c r="A423" s="24" t="s">
        <v>874</v>
      </c>
    </row>
    <row r="424" spans="1:1">
      <c r="A424" s="24" t="s">
        <v>875</v>
      </c>
    </row>
    <row r="425" spans="1:1">
      <c r="A425" s="24" t="s">
        <v>876</v>
      </c>
    </row>
    <row r="426" spans="1:1">
      <c r="A426" s="24" t="s">
        <v>877</v>
      </c>
    </row>
    <row r="427" spans="1:1">
      <c r="A427" s="24" t="s">
        <v>878</v>
      </c>
    </row>
    <row r="428" spans="1:1">
      <c r="A428" s="24" t="s">
        <v>879</v>
      </c>
    </row>
    <row r="429" spans="1:1">
      <c r="A429" s="24" t="s">
        <v>880</v>
      </c>
    </row>
    <row r="430" spans="1:1">
      <c r="A430" s="24" t="s">
        <v>881</v>
      </c>
    </row>
    <row r="431" spans="1:1">
      <c r="A431" s="24" t="s">
        <v>882</v>
      </c>
    </row>
    <row r="432" spans="1:1">
      <c r="A432" s="24" t="s">
        <v>883</v>
      </c>
    </row>
    <row r="433" spans="1:1">
      <c r="A433" s="24" t="s">
        <v>884</v>
      </c>
    </row>
    <row r="434" spans="1:1">
      <c r="A434" s="24" t="s">
        <v>885</v>
      </c>
    </row>
    <row r="435" spans="1:1">
      <c r="A435" s="24" t="s">
        <v>886</v>
      </c>
    </row>
    <row r="436" spans="1:1">
      <c r="A436" s="24" t="s">
        <v>887</v>
      </c>
    </row>
    <row r="437" spans="1:1">
      <c r="A437" s="24" t="s">
        <v>888</v>
      </c>
    </row>
    <row r="438" spans="1:1">
      <c r="A438" s="24" t="s">
        <v>889</v>
      </c>
    </row>
    <row r="439" spans="1:1">
      <c r="A439" s="24" t="s">
        <v>890</v>
      </c>
    </row>
    <row r="440" spans="1:1">
      <c r="A440" s="24" t="s">
        <v>891</v>
      </c>
    </row>
    <row r="441" spans="1:1">
      <c r="A441" s="24" t="s">
        <v>892</v>
      </c>
    </row>
    <row r="442" spans="1:1">
      <c r="A442" s="24" t="s">
        <v>893</v>
      </c>
    </row>
    <row r="443" spans="1:1">
      <c r="A443" s="24" t="s">
        <v>894</v>
      </c>
    </row>
    <row r="444" spans="1:1">
      <c r="A444" s="24" t="s">
        <v>895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L23"/>
  <sheetViews>
    <sheetView workbookViewId="0"/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  <col min="10" max="10" width="2.140625" bestFit="1" customWidth="1"/>
    <col min="11" max="11" width="14.140625" bestFit="1" customWidth="1"/>
  </cols>
  <sheetData>
    <row r="1" spans="1:12" ht="15.75" thickBot="1">
      <c r="A1" s="36" t="s">
        <v>906</v>
      </c>
      <c r="B1" s="250" t="s">
        <v>905</v>
      </c>
      <c r="C1" s="251"/>
      <c r="D1" s="36" t="s">
        <v>906</v>
      </c>
      <c r="E1" s="252" t="s">
        <v>907</v>
      </c>
      <c r="F1" s="253"/>
      <c r="G1" s="36" t="s">
        <v>906</v>
      </c>
      <c r="H1" s="56" t="s">
        <v>923</v>
      </c>
      <c r="I1" s="57" t="s">
        <v>924</v>
      </c>
      <c r="J1" s="36" t="s">
        <v>906</v>
      </c>
      <c r="K1" s="33" t="s">
        <v>1054</v>
      </c>
      <c r="L1" s="33" t="s">
        <v>1055</v>
      </c>
    </row>
    <row r="2" spans="1:12">
      <c r="A2" s="36"/>
      <c r="B2" s="37" t="s">
        <v>908</v>
      </c>
      <c r="C2" s="38" t="str">
        <f>VLOOKUP(C3,H1:I12,2,FALSE)</f>
        <v>MySQL</v>
      </c>
      <c r="D2" s="36"/>
      <c r="E2" s="37" t="s">
        <v>908</v>
      </c>
      <c r="F2" s="38" t="str">
        <f>VLOOKUP(F3,H1:I12,2,FALSE)</f>
        <v>Access2003</v>
      </c>
      <c r="H2" s="55" t="s">
        <v>925</v>
      </c>
      <c r="I2" s="55" t="s">
        <v>926</v>
      </c>
    </row>
    <row r="3" spans="1:12">
      <c r="A3" s="36"/>
      <c r="B3" s="39" t="s">
        <v>909</v>
      </c>
      <c r="C3" s="40" t="s">
        <v>910</v>
      </c>
      <c r="D3" s="36"/>
      <c r="E3" s="39" t="s">
        <v>909</v>
      </c>
      <c r="F3" s="40" t="s">
        <v>911</v>
      </c>
      <c r="H3" s="54" t="s">
        <v>911</v>
      </c>
      <c r="I3" s="54" t="s">
        <v>927</v>
      </c>
    </row>
    <row r="4" spans="1:12">
      <c r="A4" s="36"/>
      <c r="B4" s="39" t="s">
        <v>912</v>
      </c>
      <c r="C4" s="40" t="s">
        <v>913</v>
      </c>
      <c r="D4" s="36"/>
      <c r="E4" s="39" t="s">
        <v>912</v>
      </c>
      <c r="F4" s="40" t="str">
        <f>getPath('PATRICIA MIRRA'!B1)</f>
        <v>C:\Users\AILTON\Desktop\#SPRINGER\@VENDAS\db\</v>
      </c>
      <c r="H4" s="54" t="s">
        <v>928</v>
      </c>
      <c r="I4" s="54" t="s">
        <v>929</v>
      </c>
    </row>
    <row r="5" spans="1:12">
      <c r="A5" s="36"/>
      <c r="B5" s="39" t="s">
        <v>914</v>
      </c>
      <c r="C5" s="40" t="s">
        <v>915</v>
      </c>
      <c r="D5" s="36"/>
      <c r="E5" s="39" t="s">
        <v>914</v>
      </c>
      <c r="F5" s="40" t="str">
        <f>getFileNameAndExt('PATRICIA MIRRA'!B1)</f>
        <v>dbOrcamentos.mdb</v>
      </c>
      <c r="H5" s="54" t="s">
        <v>910</v>
      </c>
      <c r="I5" s="54" t="s">
        <v>930</v>
      </c>
    </row>
    <row r="6" spans="1:12">
      <c r="A6" s="36"/>
      <c r="B6" s="39" t="s">
        <v>916</v>
      </c>
      <c r="C6" s="40" t="s">
        <v>917</v>
      </c>
      <c r="D6" s="36"/>
      <c r="E6" s="39" t="s">
        <v>916</v>
      </c>
      <c r="F6" s="40" t="s">
        <v>918</v>
      </c>
      <c r="H6" s="54" t="s">
        <v>931</v>
      </c>
      <c r="I6" s="54" t="s">
        <v>932</v>
      </c>
    </row>
    <row r="7" spans="1:12">
      <c r="A7" s="36"/>
      <c r="B7" s="39" t="s">
        <v>919</v>
      </c>
      <c r="C7" s="40" t="s">
        <v>920</v>
      </c>
      <c r="D7" s="36"/>
      <c r="E7" s="39" t="s">
        <v>919</v>
      </c>
      <c r="F7" s="40" t="s">
        <v>921</v>
      </c>
      <c r="H7" s="54" t="s">
        <v>970</v>
      </c>
      <c r="I7" s="54" t="s">
        <v>930</v>
      </c>
    </row>
    <row r="8" spans="1:12" ht="15.75" thickBot="1">
      <c r="A8" s="36"/>
      <c r="B8" s="41" t="s">
        <v>922</v>
      </c>
      <c r="C8" s="42">
        <v>3306</v>
      </c>
      <c r="D8" s="36"/>
      <c r="E8" s="41" t="s">
        <v>922</v>
      </c>
      <c r="F8" s="42"/>
      <c r="H8" s="54"/>
      <c r="I8" s="54"/>
    </row>
    <row r="9" spans="1:12">
      <c r="H9" s="54"/>
      <c r="I9" s="54"/>
    </row>
    <row r="10" spans="1:12">
      <c r="H10" s="54"/>
      <c r="I10" s="54"/>
    </row>
    <row r="11" spans="1:12">
      <c r="C11" s="33" t="s">
        <v>1053</v>
      </c>
      <c r="H11" s="54"/>
      <c r="I11" s="54"/>
    </row>
    <row r="12" spans="1:12">
      <c r="B12" t="s">
        <v>912</v>
      </c>
      <c r="C12" t="s">
        <v>913</v>
      </c>
      <c r="E12" s="118"/>
      <c r="F12" s="118"/>
      <c r="H12" s="54"/>
      <c r="I12" s="54"/>
    </row>
    <row r="13" spans="1:12">
      <c r="B13" t="s">
        <v>914</v>
      </c>
      <c r="C13" t="s">
        <v>915</v>
      </c>
      <c r="E13" s="119"/>
      <c r="F13" s="119"/>
    </row>
    <row r="14" spans="1:12">
      <c r="B14" t="s">
        <v>916</v>
      </c>
      <c r="C14" t="s">
        <v>917</v>
      </c>
      <c r="E14" s="118"/>
      <c r="F14" s="118"/>
    </row>
    <row r="15" spans="1:12">
      <c r="B15" t="s">
        <v>919</v>
      </c>
      <c r="C15" t="s">
        <v>920</v>
      </c>
      <c r="E15" s="118"/>
      <c r="F15" s="118"/>
    </row>
    <row r="16" spans="1:12">
      <c r="B16" t="s">
        <v>922</v>
      </c>
      <c r="C16">
        <v>3306</v>
      </c>
      <c r="E16" s="119"/>
      <c r="F16" s="119"/>
    </row>
    <row r="18" spans="2:3">
      <c r="C18" s="33" t="s">
        <v>1052</v>
      </c>
    </row>
    <row r="19" spans="2:3">
      <c r="B19" t="s">
        <v>912</v>
      </c>
      <c r="C19" t="s">
        <v>960</v>
      </c>
    </row>
    <row r="20" spans="2:3">
      <c r="B20" t="s">
        <v>914</v>
      </c>
      <c r="C20" t="s">
        <v>959</v>
      </c>
    </row>
    <row r="21" spans="2:3">
      <c r="B21" t="s">
        <v>916</v>
      </c>
      <c r="C21" t="s">
        <v>958</v>
      </c>
    </row>
    <row r="22" spans="2:3">
      <c r="B22" t="s">
        <v>919</v>
      </c>
      <c r="C22" t="s">
        <v>920</v>
      </c>
    </row>
    <row r="23" spans="2:3">
      <c r="B23" t="s">
        <v>922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4" t="s">
        <v>1013</v>
      </c>
      <c r="T1" s="254"/>
      <c r="U1" s="254"/>
    </row>
    <row r="2" spans="1:29" ht="21">
      <c r="B2" s="199" t="s">
        <v>496</v>
      </c>
      <c r="C2" s="199"/>
      <c r="D2" s="199"/>
      <c r="G2" s="199" t="s">
        <v>1008</v>
      </c>
      <c r="H2" s="199"/>
      <c r="I2" s="199"/>
      <c r="J2" s="199"/>
      <c r="L2" s="199" t="s">
        <v>1011</v>
      </c>
      <c r="M2" s="199"/>
      <c r="N2" s="199"/>
      <c r="O2" s="199"/>
      <c r="P2" s="199"/>
      <c r="S2" s="254" t="s">
        <v>1014</v>
      </c>
      <c r="T2" s="254"/>
      <c r="U2" s="254"/>
      <c r="X2" s="255" t="s">
        <v>1027</v>
      </c>
      <c r="Y2" s="256"/>
      <c r="Z2" s="256"/>
      <c r="AA2" s="256"/>
      <c r="AB2" s="256"/>
      <c r="AC2" s="257"/>
    </row>
    <row r="3" spans="1:29" ht="15.75">
      <c r="A3" s="15" t="s">
        <v>1049</v>
      </c>
      <c r="B3" s="15" t="s">
        <v>468</v>
      </c>
      <c r="C3" s="15" t="s">
        <v>497</v>
      </c>
      <c r="D3" s="15" t="s">
        <v>498</v>
      </c>
      <c r="E3" s="15" t="s">
        <v>460</v>
      </c>
      <c r="G3" s="15" t="s">
        <v>1006</v>
      </c>
      <c r="H3" s="15" t="s">
        <v>1005</v>
      </c>
      <c r="I3" s="15" t="s">
        <v>460</v>
      </c>
      <c r="J3" s="15" t="s">
        <v>1007</v>
      </c>
      <c r="L3" s="15" t="s">
        <v>1010</v>
      </c>
      <c r="M3" s="15" t="s">
        <v>1034</v>
      </c>
      <c r="N3" s="15" t="s">
        <v>1036</v>
      </c>
      <c r="O3" s="15" t="s">
        <v>1009</v>
      </c>
      <c r="P3" s="15" t="s">
        <v>1012</v>
      </c>
      <c r="S3" s="136" t="s">
        <v>1015</v>
      </c>
      <c r="T3" s="136" t="s">
        <v>1016</v>
      </c>
      <c r="U3" s="136" t="s">
        <v>1017</v>
      </c>
      <c r="X3" s="54" t="s">
        <v>1030</v>
      </c>
      <c r="Y3" s="141" t="s">
        <v>1033</v>
      </c>
      <c r="Z3" s="54" t="s">
        <v>1031</v>
      </c>
      <c r="AA3" s="54" t="s">
        <v>1028</v>
      </c>
      <c r="AB3" s="54" t="s">
        <v>1029</v>
      </c>
      <c r="AC3" s="54" t="s">
        <v>1032</v>
      </c>
    </row>
    <row r="4" spans="1:29">
      <c r="A4" s="54">
        <v>11</v>
      </c>
      <c r="B4" s="121" t="s">
        <v>991</v>
      </c>
      <c r="C4" s="128" t="s">
        <v>982</v>
      </c>
      <c r="D4" s="128" t="s">
        <v>983</v>
      </c>
      <c r="E4" s="134" t="s">
        <v>1004</v>
      </c>
      <c r="G4" s="120">
        <v>4</v>
      </c>
      <c r="H4" s="150">
        <v>460</v>
      </c>
      <c r="I4" s="54" t="s">
        <v>933</v>
      </c>
      <c r="J4" s="132" t="s">
        <v>1003</v>
      </c>
      <c r="L4" s="54" t="s">
        <v>1035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1018</v>
      </c>
      <c r="T4" s="138" t="s">
        <v>1019</v>
      </c>
      <c r="U4" s="138" t="s">
        <v>1019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992</v>
      </c>
      <c r="C5" s="125" t="s">
        <v>977</v>
      </c>
      <c r="D5" s="126" t="s">
        <v>978</v>
      </c>
      <c r="E5" s="133" t="s">
        <v>1003</v>
      </c>
      <c r="G5" s="120">
        <v>8</v>
      </c>
      <c r="H5" s="150">
        <v>860</v>
      </c>
      <c r="I5" s="121" t="s">
        <v>933</v>
      </c>
      <c r="J5" s="132" t="s">
        <v>1003</v>
      </c>
      <c r="L5" s="54" t="s">
        <v>1037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1020</v>
      </c>
      <c r="T5" s="138" t="s">
        <v>1021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1000</v>
      </c>
      <c r="C6" s="130" t="s">
        <v>986</v>
      </c>
      <c r="D6" s="130" t="s">
        <v>987</v>
      </c>
      <c r="E6" s="133" t="s">
        <v>1003</v>
      </c>
      <c r="G6" s="120">
        <v>12</v>
      </c>
      <c r="H6" s="150">
        <v>1260</v>
      </c>
      <c r="I6" s="121" t="s">
        <v>933</v>
      </c>
      <c r="J6" s="132" t="s">
        <v>1003</v>
      </c>
      <c r="M6" s="258" t="s">
        <v>1047</v>
      </c>
      <c r="N6" s="258"/>
      <c r="O6" s="258"/>
      <c r="S6" s="137" t="s">
        <v>1022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1001</v>
      </c>
      <c r="C7" s="130" t="s">
        <v>999</v>
      </c>
      <c r="D7" s="130" t="s">
        <v>986</v>
      </c>
      <c r="E7" s="133" t="s">
        <v>1003</v>
      </c>
      <c r="G7" s="120">
        <v>16</v>
      </c>
      <c r="H7" s="150">
        <v>1710</v>
      </c>
      <c r="I7" s="121" t="s">
        <v>933</v>
      </c>
      <c r="J7" s="132" t="s">
        <v>1003</v>
      </c>
      <c r="S7" s="137" t="s">
        <v>1023</v>
      </c>
      <c r="T7" s="138" t="s">
        <v>1024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971</v>
      </c>
      <c r="C8" s="125" t="s">
        <v>972</v>
      </c>
      <c r="D8" s="125" t="s">
        <v>973</v>
      </c>
      <c r="E8" s="133" t="s">
        <v>1003</v>
      </c>
      <c r="G8" s="120">
        <v>20</v>
      </c>
      <c r="H8" s="150">
        <v>2110</v>
      </c>
      <c r="I8" s="121" t="s">
        <v>933</v>
      </c>
      <c r="J8" s="132" t="s">
        <v>1003</v>
      </c>
      <c r="S8" s="137" t="s">
        <v>1025</v>
      </c>
      <c r="T8" s="138" t="s">
        <v>1026</v>
      </c>
      <c r="U8" s="138">
        <v>826.15</v>
      </c>
      <c r="Z8" s="147" t="s">
        <v>1047</v>
      </c>
      <c r="AB8" s="258" t="s">
        <v>1047</v>
      </c>
      <c r="AC8" s="258"/>
    </row>
    <row r="9" spans="1:29">
      <c r="A9" s="54">
        <v>16</v>
      </c>
      <c r="B9" s="121" t="s">
        <v>997</v>
      </c>
      <c r="C9" s="131" t="s">
        <v>986</v>
      </c>
      <c r="D9" s="131" t="s">
        <v>987</v>
      </c>
      <c r="E9" s="133" t="s">
        <v>1003</v>
      </c>
      <c r="G9" s="120">
        <v>24</v>
      </c>
      <c r="H9" s="150">
        <v>2560</v>
      </c>
      <c r="I9" s="121" t="s">
        <v>933</v>
      </c>
      <c r="J9" s="132" t="s">
        <v>1003</v>
      </c>
    </row>
    <row r="10" spans="1:29">
      <c r="A10" s="54">
        <v>17</v>
      </c>
      <c r="B10" s="121" t="s">
        <v>998</v>
      </c>
      <c r="C10" s="130" t="s">
        <v>999</v>
      </c>
      <c r="D10" s="130" t="s">
        <v>986</v>
      </c>
      <c r="E10" s="133" t="s">
        <v>1003</v>
      </c>
      <c r="G10" s="120">
        <v>28</v>
      </c>
      <c r="H10" s="150">
        <v>2961</v>
      </c>
      <c r="I10" s="121" t="s">
        <v>933</v>
      </c>
      <c r="J10" s="132" t="s">
        <v>1003</v>
      </c>
    </row>
    <row r="11" spans="1:29">
      <c r="A11" s="54">
        <v>20</v>
      </c>
      <c r="B11" s="121" t="s">
        <v>1002</v>
      </c>
      <c r="C11" s="130" t="s">
        <v>986</v>
      </c>
      <c r="D11" s="130" t="s">
        <v>986</v>
      </c>
      <c r="E11" s="133" t="s">
        <v>1003</v>
      </c>
      <c r="G11" s="120">
        <v>32</v>
      </c>
      <c r="H11" s="150">
        <v>3370</v>
      </c>
      <c r="I11" s="121" t="s">
        <v>933</v>
      </c>
      <c r="J11" s="132" t="s">
        <v>1003</v>
      </c>
    </row>
    <row r="12" spans="1:29">
      <c r="A12" s="54">
        <v>13</v>
      </c>
      <c r="B12" s="121" t="s">
        <v>993</v>
      </c>
      <c r="C12" s="127" t="s">
        <v>972</v>
      </c>
      <c r="D12" s="127" t="s">
        <v>982</v>
      </c>
      <c r="E12" s="133" t="s">
        <v>1003</v>
      </c>
      <c r="G12" s="120">
        <v>36</v>
      </c>
      <c r="H12" s="150">
        <v>3791</v>
      </c>
      <c r="I12" s="121" t="s">
        <v>933</v>
      </c>
      <c r="J12" s="132" t="s">
        <v>1003</v>
      </c>
    </row>
    <row r="13" spans="1:29">
      <c r="A13" s="54">
        <v>15</v>
      </c>
      <c r="B13" s="121" t="s">
        <v>996</v>
      </c>
      <c r="C13" s="127" t="s">
        <v>986</v>
      </c>
      <c r="D13" s="127" t="s">
        <v>987</v>
      </c>
      <c r="E13" s="54"/>
      <c r="G13" s="120">
        <v>40</v>
      </c>
      <c r="H13" s="150">
        <v>4210</v>
      </c>
      <c r="I13" s="121" t="s">
        <v>933</v>
      </c>
      <c r="J13" s="132" t="s">
        <v>1003</v>
      </c>
    </row>
    <row r="14" spans="1:29">
      <c r="A14" s="54">
        <v>14</v>
      </c>
      <c r="B14" s="121" t="s">
        <v>994</v>
      </c>
      <c r="C14" s="130" t="s">
        <v>983</v>
      </c>
      <c r="D14" s="128" t="s">
        <v>995</v>
      </c>
      <c r="E14" s="133" t="s">
        <v>1003</v>
      </c>
      <c r="G14" s="120">
        <v>44</v>
      </c>
      <c r="H14" s="150">
        <v>4631</v>
      </c>
      <c r="I14" s="121" t="s">
        <v>933</v>
      </c>
      <c r="J14" s="132" t="s">
        <v>1003</v>
      </c>
    </row>
    <row r="15" spans="1:29">
      <c r="A15" s="54">
        <v>6</v>
      </c>
      <c r="B15" s="121" t="s">
        <v>980</v>
      </c>
      <c r="C15" s="129" t="s">
        <v>972</v>
      </c>
      <c r="D15" s="126" t="s">
        <v>973</v>
      </c>
      <c r="E15" s="134" t="s">
        <v>1004</v>
      </c>
      <c r="G15" s="120">
        <v>48</v>
      </c>
      <c r="H15" s="150">
        <v>5052</v>
      </c>
      <c r="I15" s="121" t="s">
        <v>933</v>
      </c>
      <c r="J15" s="132" t="s">
        <v>1003</v>
      </c>
    </row>
    <row r="16" spans="1:29">
      <c r="A16" s="54">
        <v>9</v>
      </c>
      <c r="B16" s="121" t="s">
        <v>985</v>
      </c>
      <c r="C16" s="128" t="s">
        <v>986</v>
      </c>
      <c r="D16" s="128" t="s">
        <v>987</v>
      </c>
      <c r="E16" s="54"/>
      <c r="G16" s="120">
        <v>4</v>
      </c>
      <c r="H16" s="150">
        <v>160</v>
      </c>
      <c r="I16" s="121" t="s">
        <v>934</v>
      </c>
      <c r="J16" s="132" t="s">
        <v>1003</v>
      </c>
    </row>
    <row r="17" spans="1:10">
      <c r="A17" s="54">
        <v>10</v>
      </c>
      <c r="B17" s="121" t="s">
        <v>988</v>
      </c>
      <c r="C17" s="128" t="s">
        <v>989</v>
      </c>
      <c r="D17" s="128" t="s">
        <v>990</v>
      </c>
      <c r="E17" s="54"/>
      <c r="G17" s="120">
        <v>8</v>
      </c>
      <c r="H17" s="150">
        <v>310</v>
      </c>
      <c r="I17" s="121" t="s">
        <v>934</v>
      </c>
      <c r="J17" s="132" t="s">
        <v>1003</v>
      </c>
    </row>
    <row r="18" spans="1:10">
      <c r="A18" s="54">
        <v>8</v>
      </c>
      <c r="B18" s="121" t="s">
        <v>984</v>
      </c>
      <c r="C18" s="129" t="s">
        <v>978</v>
      </c>
      <c r="D18" s="126" t="s">
        <v>982</v>
      </c>
      <c r="E18" s="54"/>
      <c r="G18" s="120">
        <v>12</v>
      </c>
      <c r="H18" s="150">
        <v>430</v>
      </c>
      <c r="I18" s="121" t="s">
        <v>934</v>
      </c>
      <c r="J18" s="132" t="s">
        <v>1003</v>
      </c>
    </row>
    <row r="19" spans="1:10">
      <c r="A19" s="54">
        <v>7</v>
      </c>
      <c r="B19" s="121" t="s">
        <v>981</v>
      </c>
      <c r="C19" s="129" t="s">
        <v>982</v>
      </c>
      <c r="D19" s="126" t="s">
        <v>983</v>
      </c>
      <c r="E19" s="133" t="s">
        <v>1003</v>
      </c>
      <c r="G19" s="120">
        <v>16</v>
      </c>
      <c r="H19" s="150">
        <v>570</v>
      </c>
      <c r="I19" s="121" t="s">
        <v>934</v>
      </c>
      <c r="J19" s="132" t="s">
        <v>1003</v>
      </c>
    </row>
    <row r="20" spans="1:10">
      <c r="A20" s="54">
        <v>5</v>
      </c>
      <c r="B20" s="121" t="s">
        <v>979</v>
      </c>
      <c r="C20" s="128" t="s">
        <v>977</v>
      </c>
      <c r="D20" s="126" t="s">
        <v>978</v>
      </c>
      <c r="E20" s="134" t="s">
        <v>1004</v>
      </c>
      <c r="G20" s="120">
        <v>20</v>
      </c>
      <c r="H20" s="150">
        <v>710</v>
      </c>
      <c r="I20" s="121" t="s">
        <v>934</v>
      </c>
      <c r="J20" s="132" t="s">
        <v>1003</v>
      </c>
    </row>
    <row r="21" spans="1:10">
      <c r="A21" s="54">
        <v>2</v>
      </c>
      <c r="B21" s="121" t="s">
        <v>974</v>
      </c>
      <c r="C21" s="125" t="s">
        <v>972</v>
      </c>
      <c r="D21" s="126" t="s">
        <v>973</v>
      </c>
      <c r="E21" s="133" t="s">
        <v>1003</v>
      </c>
      <c r="G21" s="120">
        <v>24</v>
      </c>
      <c r="H21" s="150">
        <v>850</v>
      </c>
      <c r="I21" s="121" t="s">
        <v>934</v>
      </c>
      <c r="J21" s="132" t="s">
        <v>1003</v>
      </c>
    </row>
    <row r="22" spans="1:10">
      <c r="A22" s="54">
        <v>4</v>
      </c>
      <c r="B22" s="121" t="s">
        <v>976</v>
      </c>
      <c r="C22" s="127" t="s">
        <v>977</v>
      </c>
      <c r="D22" s="127" t="s">
        <v>978</v>
      </c>
      <c r="E22" s="134" t="s">
        <v>1004</v>
      </c>
      <c r="G22" s="120">
        <v>28</v>
      </c>
      <c r="H22" s="150">
        <v>990</v>
      </c>
      <c r="I22" s="121" t="s">
        <v>934</v>
      </c>
      <c r="J22" s="132" t="s">
        <v>1003</v>
      </c>
    </row>
    <row r="23" spans="1:10">
      <c r="A23" s="54">
        <v>3</v>
      </c>
      <c r="B23" s="121" t="s">
        <v>975</v>
      </c>
      <c r="C23" s="126" t="s">
        <v>972</v>
      </c>
      <c r="D23" s="126" t="s">
        <v>973</v>
      </c>
      <c r="E23" s="133" t="s">
        <v>1003</v>
      </c>
      <c r="G23" s="120">
        <v>32</v>
      </c>
      <c r="H23" s="150">
        <v>1130</v>
      </c>
      <c r="I23" s="121" t="s">
        <v>934</v>
      </c>
      <c r="J23" s="132" t="s">
        <v>1003</v>
      </c>
    </row>
    <row r="24" spans="1:10">
      <c r="G24" s="120">
        <v>36</v>
      </c>
      <c r="H24" s="150">
        <v>1270</v>
      </c>
      <c r="I24" s="121" t="s">
        <v>934</v>
      </c>
      <c r="J24" s="132" t="s">
        <v>1003</v>
      </c>
    </row>
    <row r="25" spans="1:10">
      <c r="G25" s="120">
        <v>40</v>
      </c>
      <c r="H25" s="150">
        <v>1410</v>
      </c>
      <c r="I25" s="121" t="s">
        <v>934</v>
      </c>
      <c r="J25" s="132" t="s">
        <v>1003</v>
      </c>
    </row>
    <row r="26" spans="1:10">
      <c r="G26" s="120">
        <v>44</v>
      </c>
      <c r="H26" s="150">
        <v>1551</v>
      </c>
      <c r="I26" s="121" t="s">
        <v>934</v>
      </c>
      <c r="J26" s="132" t="s">
        <v>1003</v>
      </c>
    </row>
    <row r="27" spans="1:10">
      <c r="G27" s="120">
        <v>48</v>
      </c>
      <c r="H27" s="150">
        <v>1692</v>
      </c>
      <c r="I27" s="121" t="s">
        <v>934</v>
      </c>
      <c r="J27" s="132" t="s">
        <v>1003</v>
      </c>
    </row>
    <row r="28" spans="1:10">
      <c r="G28" s="120">
        <v>4</v>
      </c>
      <c r="H28" s="150">
        <v>210</v>
      </c>
      <c r="I28" s="121" t="s">
        <v>935</v>
      </c>
      <c r="J28" s="132" t="s">
        <v>1003</v>
      </c>
    </row>
    <row r="29" spans="1:10">
      <c r="G29" s="120">
        <v>8</v>
      </c>
      <c r="H29" s="150">
        <v>370</v>
      </c>
      <c r="I29" s="121" t="s">
        <v>935</v>
      </c>
      <c r="J29" s="132" t="s">
        <v>1003</v>
      </c>
    </row>
    <row r="30" spans="1:10">
      <c r="G30" s="120">
        <v>12</v>
      </c>
      <c r="H30" s="150">
        <v>560</v>
      </c>
      <c r="I30" s="121" t="s">
        <v>935</v>
      </c>
      <c r="J30" s="132" t="s">
        <v>1003</v>
      </c>
    </row>
    <row r="31" spans="1:10">
      <c r="G31" s="120">
        <v>16</v>
      </c>
      <c r="H31" s="150">
        <v>730</v>
      </c>
      <c r="I31" s="121" t="s">
        <v>935</v>
      </c>
      <c r="J31" s="132" t="s">
        <v>1003</v>
      </c>
    </row>
    <row r="32" spans="1:10">
      <c r="G32" s="120">
        <v>20</v>
      </c>
      <c r="H32" s="150">
        <v>910</v>
      </c>
      <c r="I32" s="121" t="s">
        <v>935</v>
      </c>
      <c r="J32" s="132" t="s">
        <v>1003</v>
      </c>
    </row>
    <row r="33" spans="7:10">
      <c r="G33" s="120">
        <v>24</v>
      </c>
      <c r="H33" s="150">
        <v>1110</v>
      </c>
      <c r="I33" s="121" t="s">
        <v>935</v>
      </c>
      <c r="J33" s="132" t="s">
        <v>1003</v>
      </c>
    </row>
    <row r="34" spans="7:10">
      <c r="G34" s="120">
        <v>28</v>
      </c>
      <c r="H34" s="150">
        <v>1270</v>
      </c>
      <c r="I34" s="121" t="s">
        <v>935</v>
      </c>
      <c r="J34" s="132" t="s">
        <v>1003</v>
      </c>
    </row>
    <row r="35" spans="7:10">
      <c r="G35" s="120">
        <v>32</v>
      </c>
      <c r="H35" s="150">
        <v>1461</v>
      </c>
      <c r="I35" s="121" t="s">
        <v>935</v>
      </c>
      <c r="J35" s="132" t="s">
        <v>1003</v>
      </c>
    </row>
    <row r="36" spans="7:10">
      <c r="G36" s="120">
        <v>36</v>
      </c>
      <c r="H36" s="150">
        <v>1631</v>
      </c>
      <c r="I36" s="121" t="s">
        <v>935</v>
      </c>
      <c r="J36" s="132" t="s">
        <v>1003</v>
      </c>
    </row>
    <row r="37" spans="7:10">
      <c r="G37" s="120">
        <v>40</v>
      </c>
      <c r="H37" s="150">
        <v>1810</v>
      </c>
      <c r="I37" s="121" t="s">
        <v>935</v>
      </c>
      <c r="J37" s="132" t="s">
        <v>1003</v>
      </c>
    </row>
    <row r="38" spans="7:10">
      <c r="G38" s="120">
        <v>44</v>
      </c>
      <c r="H38" s="150">
        <v>2011</v>
      </c>
      <c r="I38" s="121" t="s">
        <v>935</v>
      </c>
      <c r="J38" s="132" t="s">
        <v>1003</v>
      </c>
    </row>
    <row r="39" spans="7:10">
      <c r="G39" s="120">
        <v>48</v>
      </c>
      <c r="H39" s="150">
        <v>2210</v>
      </c>
      <c r="I39" s="121" t="s">
        <v>935</v>
      </c>
      <c r="J39" s="132" t="s">
        <v>1003</v>
      </c>
    </row>
    <row r="40" spans="7:10">
      <c r="G40" s="122">
        <v>1</v>
      </c>
      <c r="H40" s="151">
        <v>40</v>
      </c>
      <c r="I40" s="123" t="s">
        <v>933</v>
      </c>
      <c r="J40" s="134" t="s">
        <v>1004</v>
      </c>
    </row>
    <row r="41" spans="7:10">
      <c r="G41" s="122">
        <v>1</v>
      </c>
      <c r="H41" s="151">
        <v>35</v>
      </c>
      <c r="I41" s="123" t="s">
        <v>934</v>
      </c>
      <c r="J41" s="134" t="s">
        <v>1004</v>
      </c>
    </row>
    <row r="42" spans="7:10">
      <c r="G42" s="122">
        <v>1</v>
      </c>
      <c r="H42" s="151">
        <v>50</v>
      </c>
      <c r="I42" s="123" t="s">
        <v>935</v>
      </c>
      <c r="J42" s="134" t="s">
        <v>1004</v>
      </c>
    </row>
    <row r="43" spans="7:10">
      <c r="G43" s="122">
        <v>1</v>
      </c>
      <c r="H43" s="151">
        <v>150</v>
      </c>
      <c r="I43" s="124" t="s">
        <v>1038</v>
      </c>
      <c r="J43" s="134" t="s">
        <v>1004</v>
      </c>
    </row>
    <row r="44" spans="7:10">
      <c r="G44" s="122">
        <v>1</v>
      </c>
      <c r="H44" s="151">
        <v>180</v>
      </c>
      <c r="I44" s="124" t="s">
        <v>1039</v>
      </c>
      <c r="J44" s="134" t="s">
        <v>1004</v>
      </c>
    </row>
    <row r="45" spans="7:10">
      <c r="G45" s="122">
        <v>1</v>
      </c>
      <c r="H45" s="151">
        <v>800</v>
      </c>
      <c r="I45" s="124" t="s">
        <v>1040</v>
      </c>
      <c r="J45" s="134" t="s">
        <v>1004</v>
      </c>
    </row>
    <row r="46" spans="7:10">
      <c r="G46" s="122">
        <v>1</v>
      </c>
      <c r="H46" s="151">
        <v>200</v>
      </c>
      <c r="I46" s="124" t="s">
        <v>1041</v>
      </c>
      <c r="J46" s="134" t="s">
        <v>1004</v>
      </c>
    </row>
    <row r="47" spans="7:10">
      <c r="G47" s="122">
        <v>1</v>
      </c>
      <c r="H47" s="151">
        <v>1000</v>
      </c>
      <c r="I47" s="124" t="s">
        <v>1042</v>
      </c>
      <c r="J47" s="134" t="s">
        <v>1004</v>
      </c>
    </row>
    <row r="48" spans="7:10">
      <c r="G48" s="122">
        <v>1</v>
      </c>
      <c r="H48" s="151">
        <v>200</v>
      </c>
      <c r="I48" s="124" t="s">
        <v>1043</v>
      </c>
      <c r="J48" s="134" t="s">
        <v>1004</v>
      </c>
    </row>
    <row r="49" spans="7:10">
      <c r="G49" s="122">
        <v>1</v>
      </c>
      <c r="H49" s="151">
        <v>1000</v>
      </c>
      <c r="I49" s="124" t="s">
        <v>1044</v>
      </c>
      <c r="J49" s="134" t="s">
        <v>1004</v>
      </c>
    </row>
    <row r="50" spans="7:10">
      <c r="G50" s="122">
        <v>1</v>
      </c>
      <c r="H50" s="151">
        <v>13</v>
      </c>
      <c r="I50" s="124" t="s">
        <v>1045</v>
      </c>
      <c r="J50" s="134" t="s">
        <v>1004</v>
      </c>
    </row>
    <row r="51" spans="7:10">
      <c r="G51" s="122">
        <v>1</v>
      </c>
      <c r="H51" s="151">
        <v>18</v>
      </c>
      <c r="I51" s="124" t="s">
        <v>1046</v>
      </c>
      <c r="J51" s="134" t="s">
        <v>1004</v>
      </c>
    </row>
  </sheetData>
  <sortState ref="A4:E23">
    <sortCondition ref="B4:B23"/>
  </sortState>
  <mergeCells count="8">
    <mergeCell ref="X2:AC2"/>
    <mergeCell ref="M6:O6"/>
    <mergeCell ref="AB8:AC8"/>
    <mergeCell ref="G2:J2"/>
    <mergeCell ref="B2:D2"/>
    <mergeCell ref="L2:P2"/>
    <mergeCell ref="S1:U1"/>
    <mergeCell ref="S2:U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4" t="s">
        <v>1013</v>
      </c>
      <c r="I1" s="254"/>
      <c r="J1" s="254"/>
    </row>
    <row r="2" spans="2:17" ht="21">
      <c r="B2" s="199" t="s">
        <v>1011</v>
      </c>
      <c r="C2" s="199"/>
      <c r="D2" s="199"/>
      <c r="E2" s="199"/>
      <c r="F2" s="199"/>
      <c r="H2" s="254" t="s">
        <v>1014</v>
      </c>
      <c r="I2" s="254"/>
      <c r="J2" s="254"/>
      <c r="L2" s="255" t="s">
        <v>1027</v>
      </c>
      <c r="M2" s="256"/>
      <c r="N2" s="256"/>
      <c r="O2" s="256"/>
      <c r="P2" s="256"/>
      <c r="Q2" s="257"/>
    </row>
    <row r="3" spans="2:17" ht="15.75">
      <c r="B3" s="15" t="s">
        <v>1010</v>
      </c>
      <c r="C3" s="15" t="s">
        <v>1012</v>
      </c>
      <c r="D3" s="15" t="s">
        <v>1034</v>
      </c>
      <c r="E3" s="15" t="s">
        <v>1036</v>
      </c>
      <c r="F3" s="15" t="s">
        <v>1009</v>
      </c>
      <c r="H3" s="136" t="s">
        <v>1015</v>
      </c>
      <c r="I3" s="136" t="s">
        <v>1016</v>
      </c>
      <c r="J3" s="136" t="s">
        <v>1017</v>
      </c>
      <c r="L3" s="54" t="s">
        <v>1030</v>
      </c>
      <c r="M3" s="141" t="s">
        <v>1033</v>
      </c>
      <c r="N3" s="54" t="s">
        <v>1031</v>
      </c>
      <c r="O3" s="54" t="s">
        <v>1028</v>
      </c>
      <c r="P3" s="54" t="s">
        <v>1029</v>
      </c>
      <c r="Q3" s="54" t="s">
        <v>1032</v>
      </c>
    </row>
    <row r="4" spans="2:17">
      <c r="B4" s="54" t="s">
        <v>1035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1018</v>
      </c>
      <c r="I4" s="138" t="s">
        <v>1019</v>
      </c>
      <c r="J4" s="138" t="s">
        <v>1019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1037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1020</v>
      </c>
      <c r="I5" s="138" t="s">
        <v>1021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8" t="s">
        <v>1047</v>
      </c>
      <c r="E6" s="258"/>
      <c r="F6" s="258"/>
      <c r="H6" s="137" t="s">
        <v>1022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1023</v>
      </c>
      <c r="I7" s="138" t="s">
        <v>1024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1025</v>
      </c>
      <c r="I8" s="138" t="s">
        <v>1026</v>
      </c>
      <c r="J8" s="138">
        <v>826.15</v>
      </c>
      <c r="N8" s="147" t="s">
        <v>1047</v>
      </c>
      <c r="P8" s="258" t="s">
        <v>1047</v>
      </c>
      <c r="Q8" s="258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182</vt:i4>
      </vt:variant>
    </vt:vector>
  </HeadingPairs>
  <TitlesOfParts>
    <vt:vector size="183" baseType="lpstr">
      <vt:lpstr>PATRICIA MIRRA</vt:lpstr>
      <vt:lpstr>'CUSTOS DE PRODUÇÃO'!Area_de_impressao</vt:lpstr>
      <vt:lpstr>'PATRICIA MIRRA'!Area_de_impressao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2015-05-25T11:09:45Z</dcterms:modified>
</cp:coreProperties>
</file>